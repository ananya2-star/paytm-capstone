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nnettu-my.sharepoint.com/personal/m24bmbu0002_bennett_edu_in/Documents/Desktop/Paytm_FinTech_Analytics_AI/Part_1_Payments_Fraud/"/>
    </mc:Choice>
  </mc:AlternateContent>
  <xr:revisionPtr revIDLastSave="3" documentId="8_{1837AD2F-3015-4A36-934F-BD24068F1843}" xr6:coauthVersionLast="47" xr6:coauthVersionMax="47" xr10:uidLastSave="{BB7321DB-4A79-4963-98EA-08BE8228632C}"/>
  <bookViews>
    <workbookView xWindow="-108" yWindow="-108" windowWidth="23256" windowHeight="12456" firstSheet="4" activeTab="6" xr2:uid="{E74F6FDC-86ED-44D2-93AE-490F36169194}"/>
  </bookViews>
  <sheets>
    <sheet name="Merchants" sheetId="2" r:id="rId1"/>
    <sheet name="Transactions" sheetId="3" r:id="rId2"/>
    <sheet name="Fee_lookup" sheetId="1" r:id="rId3"/>
    <sheet name="Daily_Merchan_Pivot" sheetId="4" r:id="rId4"/>
    <sheet name="Merchant_Status_Summary" sheetId="5" r:id="rId5"/>
    <sheet name="Merchant_Day_Comparison" sheetId="6" r:id="rId6"/>
    <sheet name="Documentation" sheetId="7" r:id="rId7"/>
  </sheet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6" l="1" a="1"/>
  <c r="C3" i="6" s="1"/>
  <c r="C4" i="6" a="1"/>
  <c r="C4" i="6" s="1"/>
  <c r="C5" i="6" a="1"/>
  <c r="C5" i="6" s="1"/>
  <c r="C6" i="6" a="1"/>
  <c r="C6" i="6" s="1"/>
  <c r="C2" i="6" a="1"/>
  <c r="C2" i="6" s="1"/>
  <c r="B2" i="6"/>
  <c r="B3" i="6"/>
  <c r="B4" i="6"/>
  <c r="B5" i="6"/>
  <c r="B6" i="6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2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2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<sst xmlns="http://schemas.openxmlformats.org/spreadsheetml/2006/main" count="1825" uniqueCount="649">
  <si>
    <t>merchant_id</t>
  </si>
  <si>
    <t>merchant_name</t>
  </si>
  <si>
    <t>category</t>
  </si>
  <si>
    <t>region</t>
  </si>
  <si>
    <t>Merchant_001</t>
  </si>
  <si>
    <t>ecommerce</t>
  </si>
  <si>
    <t>South</t>
  </si>
  <si>
    <t>Merchant_002</t>
  </si>
  <si>
    <t>grocery</t>
  </si>
  <si>
    <t>West</t>
  </si>
  <si>
    <t>Merchant_003</t>
  </si>
  <si>
    <t>East</t>
  </si>
  <si>
    <t>Merchant_004</t>
  </si>
  <si>
    <t>Merchant_005</t>
  </si>
  <si>
    <t>recharge</t>
  </si>
  <si>
    <t>Merchant_006</t>
  </si>
  <si>
    <t>food_delivery</t>
  </si>
  <si>
    <t>Merchant_007</t>
  </si>
  <si>
    <t>Merchant_008</t>
  </si>
  <si>
    <t>North</t>
  </si>
  <si>
    <t>Merchant_009</t>
  </si>
  <si>
    <t>Merchant_010</t>
  </si>
  <si>
    <t>Merchant_011</t>
  </si>
  <si>
    <t>Merchant_012</t>
  </si>
  <si>
    <t>Merchant_013</t>
  </si>
  <si>
    <t>travel</t>
  </si>
  <si>
    <t>Merchant_014</t>
  </si>
  <si>
    <t>Merchant_015</t>
  </si>
  <si>
    <t>Merchant_016</t>
  </si>
  <si>
    <t>bill_payment</t>
  </si>
  <si>
    <t>Merchant_017</t>
  </si>
  <si>
    <t>Merchant_018</t>
  </si>
  <si>
    <t>Merchant_019</t>
  </si>
  <si>
    <t>Merchant_020</t>
  </si>
  <si>
    <t>Merchant_021</t>
  </si>
  <si>
    <t>Merchant_022</t>
  </si>
  <si>
    <t>Merchant_023</t>
  </si>
  <si>
    <t>Merchant_024</t>
  </si>
  <si>
    <t>Merchant_025</t>
  </si>
  <si>
    <t>Merchant_026</t>
  </si>
  <si>
    <t>Merchant_027</t>
  </si>
  <si>
    <t>Merchant_028</t>
  </si>
  <si>
    <t>Merchant_029</t>
  </si>
  <si>
    <t>Merchant_030</t>
  </si>
  <si>
    <t>Merchant_031</t>
  </si>
  <si>
    <t>Merchant_032</t>
  </si>
  <si>
    <t>Merchant_033</t>
  </si>
  <si>
    <t>Merchant_034</t>
  </si>
  <si>
    <t>Merchant_035</t>
  </si>
  <si>
    <t>Merchant_036</t>
  </si>
  <si>
    <t>entertainment</t>
  </si>
  <si>
    <t>Merchant_037</t>
  </si>
  <si>
    <t>Merchant_038</t>
  </si>
  <si>
    <t>Merchant_039</t>
  </si>
  <si>
    <t>Merchant_040</t>
  </si>
  <si>
    <t>transaction_id</t>
  </si>
  <si>
    <t>user_id</t>
  </si>
  <si>
    <t>transaction_time</t>
  </si>
  <si>
    <t>amount_inr</t>
  </si>
  <si>
    <t>payment_method</t>
  </si>
  <si>
    <t>status</t>
  </si>
  <si>
    <t>risk_score</t>
  </si>
  <si>
    <t>TXN100000</t>
  </si>
  <si>
    <t>Wallet</t>
  </si>
  <si>
    <t>captured</t>
  </si>
  <si>
    <t>TXN100001</t>
  </si>
  <si>
    <t>UPI</t>
  </si>
  <si>
    <t>TXN100002</t>
  </si>
  <si>
    <t>TXN100003</t>
  </si>
  <si>
    <t>Netbanking</t>
  </si>
  <si>
    <t>TXN100004</t>
  </si>
  <si>
    <t>TXN100005</t>
  </si>
  <si>
    <t>TXN100006</t>
  </si>
  <si>
    <t>TXN100007</t>
  </si>
  <si>
    <t>TXN100008</t>
  </si>
  <si>
    <t>TXN100009</t>
  </si>
  <si>
    <t>TXN100010</t>
  </si>
  <si>
    <t>TXN100011</t>
  </si>
  <si>
    <t>Card</t>
  </si>
  <si>
    <t>failed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</si>
  <si>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</si>
  <si>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</si>
  <si>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</si>
  <si>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</si>
  <si>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</si>
  <si>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</si>
  <si>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</si>
  <si>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</si>
  <si>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</si>
  <si>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</si>
  <si>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</si>
  <si>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</si>
  <si>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chargeback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</si>
  <si>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</si>
  <si>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</si>
  <si>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</si>
  <si>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</si>
  <si>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</si>
  <si>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</si>
  <si>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</si>
  <si>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</si>
  <si>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</si>
  <si>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</si>
  <si>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</si>
  <si>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</si>
  <si>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</si>
  <si>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</si>
  <si>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</si>
  <si>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</si>
  <si>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</si>
  <si>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</si>
  <si>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</si>
  <si>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</si>
  <si>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</si>
  <si>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</si>
  <si>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</si>
  <si>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</si>
  <si>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</si>
  <si>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</si>
  <si>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</si>
  <si>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</si>
  <si>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</si>
  <si>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</si>
  <si>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</si>
  <si>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</si>
  <si>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</si>
  <si>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</si>
  <si>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</si>
  <si>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</si>
  <si>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</si>
  <si>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</si>
  <si>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</si>
  <si>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</si>
  <si>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</si>
  <si>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</si>
  <si>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</si>
  <si>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</si>
  <si>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</si>
  <si>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</si>
  <si>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</si>
  <si>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</si>
  <si>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</si>
  <si>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</si>
  <si>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</si>
  <si>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</si>
  <si>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</si>
  <si>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</si>
  <si>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</si>
  <si>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</si>
  <si>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</si>
  <si>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</si>
  <si>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</si>
  <si>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</si>
  <si>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</si>
  <si>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</si>
  <si>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</si>
  <si>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</si>
  <si>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</si>
  <si>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</si>
  <si>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</si>
  <si>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</si>
  <si>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</si>
  <si>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</si>
  <si>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</si>
  <si>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</si>
  <si>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</si>
  <si>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</si>
  <si>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</si>
  <si>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</si>
  <si>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</si>
  <si>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</si>
  <si>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</si>
  <si>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</si>
  <si>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</si>
  <si>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</si>
  <si>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</si>
  <si>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</si>
  <si>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</si>
  <si>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</si>
  <si>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</si>
  <si>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</si>
  <si>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</si>
  <si>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</si>
  <si>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</si>
  <si>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</si>
  <si>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</si>
  <si>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</si>
  <si>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</si>
  <si>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</si>
  <si>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</si>
  <si>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</si>
  <si>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</si>
  <si>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</si>
  <si>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</si>
  <si>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</si>
  <si>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</si>
  <si>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</si>
  <si>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</si>
  <si>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</si>
  <si>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</si>
  <si>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</si>
  <si>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</si>
  <si>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</si>
  <si>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</si>
  <si>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</si>
  <si>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</si>
  <si>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</si>
  <si>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</si>
  <si>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</si>
  <si>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</si>
  <si>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</si>
  <si>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</si>
  <si>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</si>
  <si>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</si>
  <si>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</si>
  <si>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</si>
  <si>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</si>
  <si>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</si>
  <si>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</si>
  <si>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</si>
  <si>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</si>
  <si>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</si>
  <si>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</si>
  <si>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</si>
  <si>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</si>
  <si>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</si>
  <si>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</si>
  <si>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</si>
  <si>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</si>
  <si>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</si>
  <si>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</si>
  <si>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</si>
  <si>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</si>
  <si>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</si>
  <si>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</si>
  <si>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</si>
  <si>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</si>
  <si>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</si>
  <si>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</si>
  <si>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</si>
  <si>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</si>
  <si>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</si>
  <si>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</si>
  <si>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</si>
  <si>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</si>
  <si>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</si>
  <si>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</si>
  <si>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</si>
  <si>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</si>
  <si>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</si>
  <si>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</si>
  <si>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</si>
  <si>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</si>
  <si>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</si>
  <si>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</si>
  <si>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</si>
  <si>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</si>
  <si>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</si>
  <si>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</si>
  <si>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</si>
  <si>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</si>
  <si>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</si>
  <si>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</si>
  <si>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</si>
  <si>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</si>
  <si>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</si>
  <si>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</si>
  <si>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</si>
  <si>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</si>
  <si>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</si>
  <si>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</si>
  <si>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</si>
  <si>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</si>
  <si>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</si>
  <si>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</si>
  <si>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</si>
  <si>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</si>
  <si>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</si>
  <si>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</si>
  <si>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</si>
  <si>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</si>
  <si>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</si>
  <si>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</si>
  <si>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</si>
  <si>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</si>
  <si>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</si>
  <si>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</si>
  <si>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</si>
  <si>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</si>
  <si>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</si>
  <si>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</si>
  <si>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</si>
  <si>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</si>
  <si>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</si>
  <si>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</si>
  <si>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</si>
  <si>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</si>
  <si>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</si>
  <si>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</si>
  <si>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</si>
  <si>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</si>
  <si>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</si>
  <si>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</si>
  <si>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</si>
  <si>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</si>
  <si>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</si>
  <si>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</si>
  <si>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</si>
  <si>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</si>
  <si>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</si>
  <si>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</si>
  <si>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</si>
  <si>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</si>
  <si>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</si>
  <si>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</si>
  <si>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</si>
  <si>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</si>
  <si>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</si>
  <si>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</si>
  <si>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</si>
  <si>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</si>
  <si>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</si>
  <si>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</si>
  <si>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</si>
  <si>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</si>
  <si>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</si>
  <si>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</si>
  <si>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</si>
  <si>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</si>
  <si>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</si>
  <si>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</si>
  <si>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</si>
  <si>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</si>
  <si>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</si>
  <si>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</si>
  <si>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</si>
  <si>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</si>
  <si>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</si>
  <si>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</si>
  <si>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</si>
  <si>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</si>
  <si>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</si>
  <si>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</si>
  <si>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</si>
  <si>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</si>
  <si>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</si>
  <si>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</si>
  <si>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</si>
  <si>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</si>
  <si>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</si>
  <si>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</si>
  <si>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</si>
  <si>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</si>
  <si>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</si>
  <si>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</si>
  <si>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</si>
  <si>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</si>
  <si>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</si>
  <si>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</si>
  <si>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</si>
  <si>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</si>
  <si>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</si>
  <si>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</si>
  <si>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</si>
  <si>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</si>
  <si>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</si>
  <si>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</si>
  <si>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</si>
  <si>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</si>
  <si>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</si>
  <si>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</si>
  <si>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</si>
  <si>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</si>
  <si>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</si>
  <si>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</si>
  <si>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</si>
  <si>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</si>
  <si>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</si>
  <si>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</si>
  <si>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</si>
  <si>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</si>
  <si>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</si>
  <si>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</si>
  <si>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</si>
  <si>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</si>
  <si>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</si>
  <si>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</si>
  <si>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</si>
  <si>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</si>
  <si>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</si>
  <si>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</si>
  <si>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</si>
  <si>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</si>
  <si>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</si>
  <si>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</si>
  <si>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</si>
  <si>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</si>
  <si>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</si>
  <si>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</si>
  <si>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</si>
  <si>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</si>
  <si>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</si>
  <si>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</si>
  <si>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</si>
  <si>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</si>
  <si>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</si>
  <si>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</si>
  <si>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</si>
  <si>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</si>
  <si>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</si>
  <si>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</si>
  <si>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</si>
  <si>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</si>
  <si>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</si>
  <si>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</si>
  <si>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</si>
  <si>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</si>
  <si>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</si>
  <si>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</si>
  <si>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</si>
  <si>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</si>
  <si>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</si>
  <si>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</si>
  <si>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</si>
  <si>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</si>
  <si>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</si>
  <si>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</si>
  <si>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</si>
  <si>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</si>
  <si>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</si>
  <si>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</si>
  <si>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</si>
  <si>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</si>
  <si>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</si>
  <si>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</si>
  <si>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</si>
  <si>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</si>
  <si>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</si>
  <si>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</si>
  <si>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</si>
  <si>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</si>
  <si>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</si>
  <si>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</si>
  <si>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</si>
  <si>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</si>
  <si>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</si>
  <si>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</si>
  <si>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</si>
  <si>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</si>
  <si>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</si>
  <si>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</si>
  <si>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</si>
  <si>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</si>
  <si>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</si>
  <si>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</si>
  <si>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</si>
  <si>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</si>
  <si>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</si>
  <si>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</si>
  <si>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</si>
  <si>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</si>
  <si>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</si>
  <si>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</si>
  <si>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</si>
  <si>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</si>
  <si>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</si>
  <si>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</si>
  <si>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</si>
  <si>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</si>
  <si>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</si>
  <si>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</si>
  <si>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</si>
  <si>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</si>
  <si>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</si>
  <si>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</si>
  <si>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</si>
  <si>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</si>
  <si>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</si>
  <si>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</si>
  <si>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</si>
  <si>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</si>
  <si>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</si>
  <si>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</si>
  <si>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</si>
  <si>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</si>
  <si>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</si>
  <si>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</si>
  <si>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</si>
  <si>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</si>
  <si>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</si>
  <si>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</si>
  <si>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</si>
  <si>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</si>
  <si>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</si>
  <si>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</si>
  <si>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</si>
  <si>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</si>
  <si>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</si>
  <si>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</si>
  <si>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</si>
  <si>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</si>
  <si>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</si>
  <si>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</si>
  <si>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</si>
  <si>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</si>
  <si>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</si>
  <si>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</si>
  <si>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</si>
  <si>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</si>
  <si>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</si>
  <si>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</si>
  <si>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</si>
  <si>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</si>
  <si>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</si>
  <si>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</si>
  <si>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</si>
  <si>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</si>
  <si>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</si>
  <si>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</si>
  <si>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</si>
  <si>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</si>
  <si>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</si>
  <si>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</si>
  <si>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</si>
  <si>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</si>
  <si>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</si>
  <si>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</si>
  <si>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</si>
  <si>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</si>
  <si>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</si>
  <si>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</si>
  <si>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</si>
  <si>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</si>
  <si>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</si>
  <si>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</si>
  <si>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</si>
  <si>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</si>
  <si>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</si>
  <si>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</si>
  <si>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</si>
  <si>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</si>
  <si>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</si>
  <si>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</si>
  <si>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</si>
  <si>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</si>
  <si>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</si>
  <si>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</si>
  <si>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</si>
  <si>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</si>
  <si>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</si>
  <si>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</si>
  <si>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</si>
  <si>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</si>
  <si>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</si>
  <si>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</si>
  <si>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</si>
  <si>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</si>
  <si>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</si>
  <si>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</si>
  <si>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</si>
  <si>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</si>
  <si>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</si>
  <si>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</si>
  <si>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</si>
  <si>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</si>
  <si>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</si>
  <si>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</si>
  <si>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</si>
  <si>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</si>
  <si>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</si>
  <si>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</si>
  <si>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</si>
  <si>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</si>
  <si>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</si>
  <si>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</si>
  <si>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</si>
  <si>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</si>
  <si>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</si>
  <si>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</si>
  <si>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</si>
  <si>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</si>
  <si>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</si>
  <si>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</si>
  <si>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</si>
  <si>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</si>
  <si>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</si>
  <si>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</si>
  <si>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</si>
  <si>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</si>
  <si>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</si>
  <si>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</si>
  <si>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</si>
  <si>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</si>
  <si>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</si>
  <si>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</si>
  <si>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</si>
  <si>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</si>
  <si>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</si>
  <si>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</si>
  <si>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</si>
  <si>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</si>
  <si>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</si>
  <si>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</si>
  <si>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</si>
  <si>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</si>
  <si>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</si>
  <si>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</si>
  <si>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</si>
  <si>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</si>
  <si>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</si>
  <si>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</si>
  <si>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</si>
  <si>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</si>
  <si>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</si>
  <si>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TXN300030</t>
  </si>
  <si>
    <t>TXN300031</t>
  </si>
  <si>
    <t>A</t>
  </si>
  <si>
    <t>B</t>
  </si>
  <si>
    <t>C</t>
  </si>
  <si>
    <t>D</t>
  </si>
  <si>
    <t>E</t>
  </si>
  <si>
    <t>Payment Method</t>
  </si>
  <si>
    <t>MDR Fee %</t>
  </si>
  <si>
    <t>transaction_date</t>
  </si>
  <si>
    <t>Row Labels</t>
  </si>
  <si>
    <t>Grand Total</t>
  </si>
  <si>
    <t>Sum of amount_inr</t>
  </si>
  <si>
    <t>Count of transaction_id</t>
  </si>
  <si>
    <t>daily_merchant_total</t>
  </si>
  <si>
    <t>merchant_day_classification</t>
  </si>
  <si>
    <t>Column Labels</t>
  </si>
  <si>
    <t>Total Sum of amount_inr</t>
  </si>
  <si>
    <t>Total Count of transaction_id</t>
  </si>
  <si>
    <t>Merchant ID</t>
  </si>
  <si>
    <t>Total Transactions</t>
  </si>
  <si>
    <t>Unique Days</t>
  </si>
  <si>
    <t>MDR fee assumptions used for demonstration:</t>
  </si>
  <si>
    <t>UPI: 0.02%</t>
  </si>
  <si>
    <t>Wallet: 0.05%</t>
  </si>
  <si>
    <t>Card: 1.50%</t>
  </si>
  <si>
    <t>Netbanking: 1.00%</t>
  </si>
  <si>
    <t>These are illustrative assumptions used only to demonstrate HLOOKUP.</t>
  </si>
  <si>
    <t>Classification rule:</t>
  </si>
  <si>
    <t>High-Value Merchant Day:</t>
  </si>
  <si>
    <t>A transaction is classified as High-Value Merchant Day when:</t>
  </si>
  <si>
    <t>1. The merchant's total transaction amount for that day exceeds INR 5,000.</t>
  </si>
  <si>
    <t>2. The merchant's region is not East.</t>
  </si>
  <si>
    <t>Otherwise, it is classified as Normal Merchant Day.</t>
  </si>
  <si>
    <t>HLOOK UP Assumptions: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</si>
</sst>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0" borderId="0" xfId="0" applyNumberFormat="1"/>
    <xf numFmtId="10" fontId="0" fillId="0" borderId="0" xfId="0" applyNumberFormat="1"/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right" vertical="center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45.672903240738" createdVersion="8" refreshedVersion="8" minRefreshableVersion="3" recordCount="547" xr:uid="{7B97FA09-1448-43E6-93C3-ED8F47094EC3}">
  <cacheSource type="worksheet">
    <worksheetSource ref="A1:M548" sheet="Transactions"/>
  </cacheSource>
  <cacheFields count="13">
    <cacheField name="transaction_id" numFmtId="0">
      <sharedItems/>
    </cacheField>
    <cacheField name="user_id" numFmtId="0">
      <sharedItems containsSemiMixedTypes="0" containsString="0" containsNumber="1" containsInteger="1" minValue="1" maxValue="365"/>
    </cacheField>
    <cacheField name="merchant_id" numFmtId="0">
      <sharedItems containsSemiMixedTypes="0" containsString="0" containsNumber="1" containsInteger="1" minValue="1" maxValue="40" count="40">
        <n v="16"/>
        <n v="27"/>
        <n v="11"/>
        <n v="22"/>
        <n v="3"/>
        <n v="23"/>
        <n v="13"/>
        <n v="18"/>
        <n v="35"/>
        <n v="12"/>
        <n v="28"/>
        <n v="33"/>
        <n v="40"/>
        <n v="19"/>
        <n v="25"/>
        <n v="20"/>
        <n v="14"/>
        <n v="21"/>
        <n v="6"/>
        <n v="15"/>
        <n v="31"/>
        <n v="37"/>
        <n v="26"/>
        <n v="7"/>
        <n v="30"/>
        <n v="36"/>
        <n v="29"/>
        <n v="2"/>
        <n v="17"/>
        <n v="4"/>
        <n v="8"/>
        <n v="24"/>
        <n v="5"/>
        <n v="32"/>
        <n v="10"/>
        <n v="38"/>
        <n v="34"/>
        <n v="1"/>
        <n v="39"/>
        <n v="9"/>
      </sharedItems>
    </cacheField>
    <cacheField name="transaction_time" numFmtId="22">
      <sharedItems containsSemiMixedTypes="0" containsNonDate="0" containsDate="1" containsString="0" minDate="2026-01-01T02:14:00" maxDate="2026-01-30T23:17:00"/>
    </cacheField>
    <cacheField name="amount_inr" numFmtId="0">
      <sharedItems containsSemiMixedTypes="0" containsString="0" containsNumber="1" containsInteger="1" minValue="49" maxValue="4999"/>
    </cacheField>
    <cacheField name="payment_method" numFmtId="0">
      <sharedItems/>
    </cacheField>
    <cacheField name="status" numFmtId="0">
      <sharedItems/>
    </cacheField>
    <cacheField name="risk_score" numFmtId="0">
      <sharedItems containsSemiMixedTypes="0" containsString="0" containsNumber="1" containsInteger="1" minValue="0" maxValue="100"/>
    </cacheField>
    <cacheField name="merchant_name" numFmtId="0">
      <sharedItems/>
    </cacheField>
    <cacheField name="category" numFmtId="0">
      <sharedItems/>
    </cacheField>
    <cacheField name="region" numFmtId="0">
      <sharedItems/>
    </cacheField>
    <cacheField name="MDR Fee %" numFmtId="10">
      <sharedItems containsSemiMixedTypes="0" containsString="0" containsNumber="1" minValue="2.0000000000000001E-4" maxValue="1.4999999999999999E-2"/>
    </cacheField>
    <cacheField name="transaction_date" numFmtId="14">
      <sharedItems containsSemiMixedTypes="0" containsNonDate="0" containsDate="1" containsString="0" minDate="2026-01-01T00:00:00" maxDate="2026-01-31T00:00:00" count="30">
        <d v="2026-01-29T00:00:00"/>
        <d v="2026-01-04T00:00:00"/>
        <d v="2026-01-24T00:00:00"/>
        <d v="2026-01-30T00:00:00"/>
        <d v="2026-01-06T00:00:00"/>
        <d v="2026-01-08T00:00:00"/>
        <d v="2026-01-27T00:00:00"/>
        <d v="2026-01-11T00:00:00"/>
        <d v="2026-01-21T00:00:00"/>
        <d v="2026-01-01T00:00:00"/>
        <d v="2026-01-09T00:00:00"/>
        <d v="2026-01-13T00:00:00"/>
        <d v="2026-01-14T00:00:00"/>
        <d v="2026-01-22T00:00:00"/>
        <d v="2026-01-05T00:00:00"/>
        <d v="2026-01-18T00:00:00"/>
        <d v="2026-01-26T00:00:00"/>
        <d v="2026-01-15T00:00:00"/>
        <d v="2026-01-17T00:00:00"/>
        <d v="2026-01-28T00:00:00"/>
        <d v="2026-01-23T00:00:00"/>
        <d v="2026-01-25T00:00:00"/>
        <d v="2026-01-02T00:00:00"/>
        <d v="2026-01-19T00:00:00"/>
        <d v="2026-01-16T00:00:00"/>
        <d v="2026-01-07T00:00:00"/>
        <d v="2026-01-20T00:00:00"/>
        <d v="2026-01-10T00:00:00"/>
        <d v="2026-01-12T00:00:00"/>
        <d v="2026-01-0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45.677098726854" createdVersion="8" refreshedVersion="8" minRefreshableVersion="3" recordCount="547" xr:uid="{AE237959-575E-49F2-8964-D6E3ED465D59}">
  <cacheSource type="worksheet">
    <worksheetSource ref="A1:O548" sheet="Transactions"/>
  </cacheSource>
  <cacheFields count="15">
    <cacheField name="transaction_id" numFmtId="0">
      <sharedItems/>
    </cacheField>
    <cacheField name="user_id" numFmtId="0">
      <sharedItems containsSemiMixedTypes="0" containsString="0" containsNumber="1" containsInteger="1" minValue="1" maxValue="365"/>
    </cacheField>
    <cacheField name="merchant_id" numFmtId="0">
      <sharedItems containsSemiMixedTypes="0" containsString="0" containsNumber="1" containsInteger="1" minValue="1" maxValue="40" count="40">
        <n v="16"/>
        <n v="27"/>
        <n v="11"/>
        <n v="22"/>
        <n v="3"/>
        <n v="23"/>
        <n v="13"/>
        <n v="18"/>
        <n v="35"/>
        <n v="12"/>
        <n v="28"/>
        <n v="33"/>
        <n v="40"/>
        <n v="19"/>
        <n v="25"/>
        <n v="20"/>
        <n v="14"/>
        <n v="21"/>
        <n v="6"/>
        <n v="15"/>
        <n v="31"/>
        <n v="37"/>
        <n v="26"/>
        <n v="7"/>
        <n v="30"/>
        <n v="36"/>
        <n v="29"/>
        <n v="2"/>
        <n v="17"/>
        <n v="4"/>
        <n v="8"/>
        <n v="24"/>
        <n v="5"/>
        <n v="32"/>
        <n v="10"/>
        <n v="38"/>
        <n v="34"/>
        <n v="1"/>
        <n v="39"/>
        <n v="9"/>
      </sharedItems>
    </cacheField>
    <cacheField name="transaction_time" numFmtId="22">
      <sharedItems containsSemiMixedTypes="0" containsNonDate="0" containsDate="1" containsString="0" minDate="2026-01-01T02:14:00" maxDate="2026-01-30T23:17:00"/>
    </cacheField>
    <cacheField name="amount_inr" numFmtId="0">
      <sharedItems containsSemiMixedTypes="0" containsString="0" containsNumber="1" containsInteger="1" minValue="49" maxValue="4999"/>
    </cacheField>
    <cacheField name="payment_method" numFmtId="0">
      <sharedItems/>
    </cacheField>
    <cacheField name="status" numFmtId="0">
      <sharedItems count="3">
        <s v="captured"/>
        <s v="failed"/>
        <s v="chargeback"/>
      </sharedItems>
    </cacheField>
    <cacheField name="risk_score" numFmtId="0">
      <sharedItems containsSemiMixedTypes="0" containsString="0" containsNumber="1" containsInteger="1" minValue="0" maxValue="100"/>
    </cacheField>
    <cacheField name="merchant_name" numFmtId="0">
      <sharedItems/>
    </cacheField>
    <cacheField name="category" numFmtId="0">
      <sharedItems/>
    </cacheField>
    <cacheField name="region" numFmtId="0">
      <sharedItems/>
    </cacheField>
    <cacheField name="MDR Fee %" numFmtId="10">
      <sharedItems containsSemiMixedTypes="0" containsString="0" containsNumber="1" minValue="2.0000000000000001E-4" maxValue="1.4999999999999999E-2"/>
    </cacheField>
    <cacheField name="transaction_date" numFmtId="14">
      <sharedItems containsSemiMixedTypes="0" containsNonDate="0" containsDate="1" containsString="0" minDate="2026-01-01T00:00:00" maxDate="2026-01-31T00:00:00"/>
    </cacheField>
    <cacheField name="daily_merchant_total" numFmtId="0">
      <sharedItems containsSemiMixedTypes="0" containsString="0" containsNumber="1" containsInteger="1" minValue="49" maxValue="9796"/>
    </cacheField>
    <cacheField name="merchant_day_classifi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">
  <r>
    <s v="TXN100000"/>
    <n v="350"/>
    <x v="0"/>
    <d v="2026-01-29T11:13:00"/>
    <n v="2999"/>
    <s v="Wallet"/>
    <s v="captured"/>
    <n v="85"/>
    <s v="Merchant_016"/>
    <s v="bill_payment"/>
    <s v="West"/>
    <n v="5.0000000000000001E-4"/>
    <x v="0"/>
  </r>
  <r>
    <s v="TXN100001"/>
    <n v="287"/>
    <x v="1"/>
    <d v="2026-01-04T11:49:00"/>
    <n v="49"/>
    <s v="UPI"/>
    <s v="captured"/>
    <n v="79"/>
    <s v="Merchant_027"/>
    <s v="ecommerce"/>
    <s v="North"/>
    <n v="2.0000000000000001E-4"/>
    <x v="1"/>
  </r>
  <r>
    <s v="TXN100002"/>
    <n v="122"/>
    <x v="2"/>
    <d v="2026-01-24T04:59:00"/>
    <n v="1499"/>
    <s v="Wallet"/>
    <s v="captured"/>
    <n v="22"/>
    <s v="Merchant_011"/>
    <s v="ecommerce"/>
    <s v="North"/>
    <n v="5.0000000000000001E-4"/>
    <x v="2"/>
  </r>
  <r>
    <s v="TXN100003"/>
    <n v="92"/>
    <x v="3"/>
    <d v="2026-01-29T13:01:00"/>
    <n v="49"/>
    <s v="Netbanking"/>
    <s v="captured"/>
    <n v="100"/>
    <s v="Merchant_022"/>
    <s v="travel"/>
    <s v="South"/>
    <n v="0.01"/>
    <x v="0"/>
  </r>
  <r>
    <s v="TXN100004"/>
    <n v="343"/>
    <x v="0"/>
    <d v="2026-01-30T13:51:00"/>
    <n v="99"/>
    <s v="UPI"/>
    <s v="captured"/>
    <n v="34"/>
    <s v="Merchant_016"/>
    <s v="bill_payment"/>
    <s v="West"/>
    <n v="2.0000000000000001E-4"/>
    <x v="3"/>
  </r>
  <r>
    <s v="TXN100005"/>
    <n v="196"/>
    <x v="4"/>
    <d v="2026-01-06T22:06:00"/>
    <n v="99"/>
    <s v="UPI"/>
    <s v="captured"/>
    <n v="60"/>
    <s v="Merchant_003"/>
    <s v="grocery"/>
    <s v="East"/>
    <n v="2.0000000000000001E-4"/>
    <x v="4"/>
  </r>
  <r>
    <s v="TXN100006"/>
    <n v="236"/>
    <x v="5"/>
    <d v="2026-01-08T06:52:00"/>
    <n v="99"/>
    <s v="Wallet"/>
    <s v="captured"/>
    <n v="39"/>
    <s v="Merchant_023"/>
    <s v="travel"/>
    <s v="North"/>
    <n v="5.0000000000000001E-4"/>
    <x v="5"/>
  </r>
  <r>
    <s v="TXN100007"/>
    <n v="13"/>
    <x v="6"/>
    <d v="2026-01-27T07:14:00"/>
    <n v="99"/>
    <s v="UPI"/>
    <s v="captured"/>
    <n v="51"/>
    <s v="Merchant_013"/>
    <s v="travel"/>
    <s v="East"/>
    <n v="2.0000000000000001E-4"/>
    <x v="6"/>
  </r>
  <r>
    <s v="TXN100008"/>
    <n v="36"/>
    <x v="7"/>
    <d v="2026-01-11T08:55:00"/>
    <n v="799"/>
    <s v="UPI"/>
    <s v="captured"/>
    <n v="44"/>
    <s v="Merchant_018"/>
    <s v="grocery"/>
    <s v="West"/>
    <n v="2.0000000000000001E-4"/>
    <x v="7"/>
  </r>
  <r>
    <s v="TXN100009"/>
    <n v="348"/>
    <x v="8"/>
    <d v="2026-01-21T16:25:00"/>
    <n v="299"/>
    <s v="UPI"/>
    <s v="captured"/>
    <n v="42"/>
    <s v="Merchant_035"/>
    <s v="recharge"/>
    <s v="East"/>
    <n v="2.0000000000000001E-4"/>
    <x v="8"/>
  </r>
  <r>
    <s v="TXN100010"/>
    <n v="134"/>
    <x v="9"/>
    <d v="2026-01-01T03:56:00"/>
    <n v="49"/>
    <s v="UPI"/>
    <s v="captured"/>
    <n v="74"/>
    <s v="Merchant_012"/>
    <s v="ecommerce"/>
    <s v="East"/>
    <n v="2.0000000000000001E-4"/>
    <x v="9"/>
  </r>
  <r>
    <s v="TXN100011"/>
    <n v="306"/>
    <x v="10"/>
    <d v="2026-01-09T01:06:00"/>
    <n v="2999"/>
    <s v="Card"/>
    <s v="failed"/>
    <n v="44"/>
    <s v="Merchant_028"/>
    <s v="ecommerce"/>
    <s v="South"/>
    <n v="1.4999999999999999E-2"/>
    <x v="10"/>
  </r>
  <r>
    <s v="TXN100012"/>
    <n v="311"/>
    <x v="11"/>
    <d v="2026-01-24T10:27:00"/>
    <n v="49"/>
    <s v="Wallet"/>
    <s v="captured"/>
    <n v="14"/>
    <s v="Merchant_033"/>
    <s v="bill_payment"/>
    <s v="East"/>
    <n v="5.0000000000000001E-4"/>
    <x v="2"/>
  </r>
  <r>
    <s v="TXN100013"/>
    <n v="131"/>
    <x v="4"/>
    <d v="2026-01-13T18:12:00"/>
    <n v="49"/>
    <s v="UPI"/>
    <s v="captured"/>
    <n v="90"/>
    <s v="Merchant_003"/>
    <s v="grocery"/>
    <s v="East"/>
    <n v="2.0000000000000001E-4"/>
    <x v="11"/>
  </r>
  <r>
    <s v="TXN100014"/>
    <n v="276"/>
    <x v="6"/>
    <d v="2026-01-14T00:33:00"/>
    <n v="1499"/>
    <s v="UPI"/>
    <s v="captured"/>
    <n v="46"/>
    <s v="Merchant_013"/>
    <s v="travel"/>
    <s v="East"/>
    <n v="2.0000000000000001E-4"/>
    <x v="12"/>
  </r>
  <r>
    <s v="TXN100015"/>
    <n v="170"/>
    <x v="12"/>
    <d v="2026-01-14T02:42:00"/>
    <n v="99"/>
    <s v="UPI"/>
    <s v="captured"/>
    <n v="40"/>
    <s v="Merchant_040"/>
    <s v="entertainment"/>
    <s v="South"/>
    <n v="2.0000000000000001E-4"/>
    <x v="12"/>
  </r>
  <r>
    <s v="TXN100016"/>
    <n v="154"/>
    <x v="11"/>
    <d v="2026-01-22T03:46:00"/>
    <n v="99"/>
    <s v="Netbanking"/>
    <s v="captured"/>
    <n v="39"/>
    <s v="Merchant_033"/>
    <s v="bill_payment"/>
    <s v="East"/>
    <n v="0.01"/>
    <x v="13"/>
  </r>
  <r>
    <s v="TXN100017"/>
    <n v="207"/>
    <x v="13"/>
    <d v="2026-01-22T13:20:00"/>
    <n v="2999"/>
    <s v="Card"/>
    <s v="captured"/>
    <n v="70"/>
    <s v="Merchant_019"/>
    <s v="grocery"/>
    <s v="North"/>
    <n v="1.4999999999999999E-2"/>
    <x v="13"/>
  </r>
  <r>
    <s v="TXN100018"/>
    <n v="341"/>
    <x v="14"/>
    <d v="2026-01-05T06:26:00"/>
    <n v="2999"/>
    <s v="UPI"/>
    <s v="captured"/>
    <n v="86"/>
    <s v="Merchant_025"/>
    <s v="travel"/>
    <s v="South"/>
    <n v="2.0000000000000001E-4"/>
    <x v="14"/>
  </r>
  <r>
    <s v="TXN100019"/>
    <n v="292"/>
    <x v="15"/>
    <d v="2026-01-24T05:39:00"/>
    <n v="49"/>
    <s v="UPI"/>
    <s v="captured"/>
    <n v="51"/>
    <s v="Merchant_020"/>
    <s v="food_delivery"/>
    <s v="East"/>
    <n v="2.0000000000000001E-4"/>
    <x v="2"/>
  </r>
  <r>
    <s v="TXN100020"/>
    <n v="147"/>
    <x v="16"/>
    <d v="2026-01-18T00:19:00"/>
    <n v="99"/>
    <s v="Card"/>
    <s v="captured"/>
    <n v="55"/>
    <s v="Merchant_014"/>
    <s v="grocery"/>
    <s v="East"/>
    <n v="1.4999999999999999E-2"/>
    <x v="15"/>
  </r>
  <r>
    <s v="TXN100021"/>
    <n v="336"/>
    <x v="17"/>
    <d v="2026-01-26T18:38:00"/>
    <n v="99"/>
    <s v="UPI"/>
    <s v="captured"/>
    <n v="59"/>
    <s v="Merchant_021"/>
    <s v="food_delivery"/>
    <s v="East"/>
    <n v="2.0000000000000001E-4"/>
    <x v="16"/>
  </r>
  <r>
    <s v="TXN100022"/>
    <n v="110"/>
    <x v="11"/>
    <d v="2026-01-15T14:43:00"/>
    <n v="799"/>
    <s v="UPI"/>
    <s v="captured"/>
    <n v="60"/>
    <s v="Merchant_033"/>
    <s v="bill_payment"/>
    <s v="East"/>
    <n v="2.0000000000000001E-4"/>
    <x v="17"/>
  </r>
  <r>
    <s v="TXN100023"/>
    <n v="338"/>
    <x v="18"/>
    <d v="2026-01-26T23:10:00"/>
    <n v="799"/>
    <s v="UPI"/>
    <s v="chargeback"/>
    <n v="36"/>
    <s v="Merchant_006"/>
    <s v="food_delivery"/>
    <s v="South"/>
    <n v="2.0000000000000001E-4"/>
    <x v="16"/>
  </r>
  <r>
    <s v="TXN100024"/>
    <n v="318"/>
    <x v="3"/>
    <d v="2026-01-17T21:40:00"/>
    <n v="799"/>
    <s v="Wallet"/>
    <s v="captured"/>
    <n v="11"/>
    <s v="Merchant_022"/>
    <s v="travel"/>
    <s v="South"/>
    <n v="5.0000000000000001E-4"/>
    <x v="18"/>
  </r>
  <r>
    <s v="TXN100025"/>
    <n v="159"/>
    <x v="19"/>
    <d v="2026-01-27T07:43:00"/>
    <n v="799"/>
    <s v="UPI"/>
    <s v="captured"/>
    <n v="25"/>
    <s v="Merchant_015"/>
    <s v="travel"/>
    <s v="North"/>
    <n v="2.0000000000000001E-4"/>
    <x v="6"/>
  </r>
  <r>
    <s v="TXN100026"/>
    <n v="126"/>
    <x v="20"/>
    <d v="2026-01-05T00:02:00"/>
    <n v="49"/>
    <s v="Card"/>
    <s v="captured"/>
    <n v="78"/>
    <s v="Merchant_031"/>
    <s v="bill_payment"/>
    <s v="East"/>
    <n v="1.4999999999999999E-2"/>
    <x v="14"/>
  </r>
  <r>
    <s v="TXN100027"/>
    <n v="213"/>
    <x v="21"/>
    <d v="2026-01-28T02:29:00"/>
    <n v="99"/>
    <s v="UPI"/>
    <s v="captured"/>
    <n v="24"/>
    <s v="Merchant_037"/>
    <s v="entertainment"/>
    <s v="South"/>
    <n v="2.0000000000000001E-4"/>
    <x v="19"/>
  </r>
  <r>
    <s v="TXN100028"/>
    <n v="254"/>
    <x v="22"/>
    <d v="2026-01-23T22:24:00"/>
    <n v="99"/>
    <s v="Wallet"/>
    <s v="captured"/>
    <n v="31"/>
    <s v="Merchant_026"/>
    <s v="food_delivery"/>
    <s v="East"/>
    <n v="5.0000000000000001E-4"/>
    <x v="20"/>
  </r>
  <r>
    <s v="TXN100029"/>
    <n v="3"/>
    <x v="23"/>
    <d v="2026-01-05T20:44:00"/>
    <n v="1499"/>
    <s v="UPI"/>
    <s v="captured"/>
    <n v="99"/>
    <s v="Merchant_007"/>
    <s v="food_delivery"/>
    <s v="East"/>
    <n v="2.0000000000000001E-4"/>
    <x v="14"/>
  </r>
  <r>
    <s v="TXN100030"/>
    <n v="266"/>
    <x v="24"/>
    <d v="2026-01-14T07:11:00"/>
    <n v="499"/>
    <s v="Card"/>
    <s v="captured"/>
    <n v="6"/>
    <s v="Merchant_030"/>
    <s v="travel"/>
    <s v="West"/>
    <n v="1.4999999999999999E-2"/>
    <x v="12"/>
  </r>
  <r>
    <s v="TXN100031"/>
    <n v="63"/>
    <x v="24"/>
    <d v="2026-01-18T07:58:00"/>
    <n v="799"/>
    <s v="UPI"/>
    <s v="captured"/>
    <n v="17"/>
    <s v="Merchant_030"/>
    <s v="travel"/>
    <s v="West"/>
    <n v="2.0000000000000001E-4"/>
    <x v="15"/>
  </r>
  <r>
    <s v="TXN100032"/>
    <n v="272"/>
    <x v="25"/>
    <d v="2026-01-26T14:42:00"/>
    <n v="149"/>
    <s v="UPI"/>
    <s v="captured"/>
    <n v="76"/>
    <s v="Merchant_036"/>
    <s v="entertainment"/>
    <s v="East"/>
    <n v="2.0000000000000001E-4"/>
    <x v="16"/>
  </r>
  <r>
    <s v="TXN100033"/>
    <n v="259"/>
    <x v="10"/>
    <d v="2026-01-11T14:39:00"/>
    <n v="49"/>
    <s v="Wallet"/>
    <s v="captured"/>
    <n v="70"/>
    <s v="Merchant_028"/>
    <s v="ecommerce"/>
    <s v="South"/>
    <n v="5.0000000000000001E-4"/>
    <x v="7"/>
  </r>
  <r>
    <s v="TXN100034"/>
    <n v="244"/>
    <x v="26"/>
    <d v="2026-01-15T05:47:00"/>
    <n v="299"/>
    <s v="Netbanking"/>
    <s v="captured"/>
    <n v="33"/>
    <s v="Merchant_029"/>
    <s v="ecommerce"/>
    <s v="North"/>
    <n v="0.01"/>
    <x v="17"/>
  </r>
  <r>
    <s v="TXN100035"/>
    <n v="327"/>
    <x v="7"/>
    <d v="2026-01-25T07:53:00"/>
    <n v="149"/>
    <s v="Card"/>
    <s v="captured"/>
    <n v="98"/>
    <s v="Merchant_018"/>
    <s v="grocery"/>
    <s v="West"/>
    <n v="1.4999999999999999E-2"/>
    <x v="21"/>
  </r>
  <r>
    <s v="TXN100036"/>
    <n v="321"/>
    <x v="0"/>
    <d v="2026-01-25T16:31:00"/>
    <n v="49"/>
    <s v="UPI"/>
    <s v="captured"/>
    <n v="35"/>
    <s v="Merchant_016"/>
    <s v="bill_payment"/>
    <s v="West"/>
    <n v="2.0000000000000001E-4"/>
    <x v="21"/>
  </r>
  <r>
    <s v="TXN100037"/>
    <n v="147"/>
    <x v="0"/>
    <d v="2026-01-15T02:45:00"/>
    <n v="2999"/>
    <s v="Card"/>
    <s v="captured"/>
    <n v="34"/>
    <s v="Merchant_016"/>
    <s v="bill_payment"/>
    <s v="West"/>
    <n v="1.4999999999999999E-2"/>
    <x v="17"/>
  </r>
  <r>
    <s v="TXN100038"/>
    <n v="277"/>
    <x v="18"/>
    <d v="2026-01-11T10:57:00"/>
    <n v="1499"/>
    <s v="Card"/>
    <s v="captured"/>
    <n v="17"/>
    <s v="Merchant_006"/>
    <s v="food_delivery"/>
    <s v="South"/>
    <n v="1.4999999999999999E-2"/>
    <x v="7"/>
  </r>
  <r>
    <s v="TXN100039"/>
    <n v="79"/>
    <x v="16"/>
    <d v="2026-01-05T07:24:00"/>
    <n v="1499"/>
    <s v="UPI"/>
    <s v="captured"/>
    <n v="8"/>
    <s v="Merchant_014"/>
    <s v="grocery"/>
    <s v="East"/>
    <n v="2.0000000000000001E-4"/>
    <x v="14"/>
  </r>
  <r>
    <s v="TXN100040"/>
    <n v="278"/>
    <x v="24"/>
    <d v="2026-01-14T13:21:00"/>
    <n v="1499"/>
    <s v="UPI"/>
    <s v="captured"/>
    <n v="53"/>
    <s v="Merchant_030"/>
    <s v="travel"/>
    <s v="West"/>
    <n v="2.0000000000000001E-4"/>
    <x v="12"/>
  </r>
  <r>
    <s v="TXN100041"/>
    <n v="216"/>
    <x v="14"/>
    <d v="2026-01-02T06:53:00"/>
    <n v="99"/>
    <s v="UPI"/>
    <s v="captured"/>
    <n v="98"/>
    <s v="Merchant_025"/>
    <s v="travel"/>
    <s v="South"/>
    <n v="2.0000000000000001E-4"/>
    <x v="22"/>
  </r>
  <r>
    <s v="TXN100042"/>
    <n v="295"/>
    <x v="14"/>
    <d v="2026-01-19T22:01:00"/>
    <n v="1499"/>
    <s v="UPI"/>
    <s v="captured"/>
    <n v="61"/>
    <s v="Merchant_025"/>
    <s v="travel"/>
    <s v="South"/>
    <n v="2.0000000000000001E-4"/>
    <x v="23"/>
  </r>
  <r>
    <s v="TXN100043"/>
    <n v="200"/>
    <x v="1"/>
    <d v="2026-01-01T11:19:00"/>
    <n v="149"/>
    <s v="UPI"/>
    <s v="captured"/>
    <n v="68"/>
    <s v="Merchant_027"/>
    <s v="ecommerce"/>
    <s v="North"/>
    <n v="2.0000000000000001E-4"/>
    <x v="9"/>
  </r>
  <r>
    <s v="TXN100044"/>
    <n v="309"/>
    <x v="19"/>
    <d v="2026-01-24T23:34:00"/>
    <n v="99"/>
    <s v="Netbanking"/>
    <s v="captured"/>
    <n v="62"/>
    <s v="Merchant_015"/>
    <s v="travel"/>
    <s v="North"/>
    <n v="0.01"/>
    <x v="2"/>
  </r>
  <r>
    <s v="TXN100045"/>
    <n v="249"/>
    <x v="27"/>
    <d v="2026-01-08T08:27:00"/>
    <n v="299"/>
    <s v="Wallet"/>
    <s v="captured"/>
    <n v="49"/>
    <s v="Merchant_002"/>
    <s v="grocery"/>
    <s v="West"/>
    <n v="5.0000000000000001E-4"/>
    <x v="5"/>
  </r>
  <r>
    <s v="TXN100046"/>
    <n v="208"/>
    <x v="2"/>
    <d v="2026-01-11T21:43:00"/>
    <n v="4999"/>
    <s v="Netbanking"/>
    <s v="captured"/>
    <n v="59"/>
    <s v="Merchant_011"/>
    <s v="ecommerce"/>
    <s v="North"/>
    <n v="0.01"/>
    <x v="7"/>
  </r>
  <r>
    <s v="TXN100047"/>
    <n v="274"/>
    <x v="27"/>
    <d v="2026-01-30T04:39:00"/>
    <n v="299"/>
    <s v="UPI"/>
    <s v="captured"/>
    <n v="50"/>
    <s v="Merchant_002"/>
    <s v="grocery"/>
    <s v="West"/>
    <n v="2.0000000000000001E-4"/>
    <x v="3"/>
  </r>
  <r>
    <s v="TXN100048"/>
    <n v="14"/>
    <x v="18"/>
    <d v="2026-01-19T18:42:00"/>
    <n v="49"/>
    <s v="Wallet"/>
    <s v="captured"/>
    <n v="82"/>
    <s v="Merchant_006"/>
    <s v="food_delivery"/>
    <s v="South"/>
    <n v="5.0000000000000001E-4"/>
    <x v="23"/>
  </r>
  <r>
    <s v="TXN100049"/>
    <n v="237"/>
    <x v="9"/>
    <d v="2026-01-14T04:55:00"/>
    <n v="49"/>
    <s v="UPI"/>
    <s v="captured"/>
    <n v="6"/>
    <s v="Merchant_012"/>
    <s v="ecommerce"/>
    <s v="East"/>
    <n v="2.0000000000000001E-4"/>
    <x v="12"/>
  </r>
  <r>
    <s v="TXN100050"/>
    <n v="109"/>
    <x v="24"/>
    <d v="2026-01-09T12:20:00"/>
    <n v="99"/>
    <s v="UPI"/>
    <s v="captured"/>
    <n v="41"/>
    <s v="Merchant_030"/>
    <s v="travel"/>
    <s v="West"/>
    <n v="2.0000000000000001E-4"/>
    <x v="10"/>
  </r>
  <r>
    <s v="TXN100051"/>
    <n v="216"/>
    <x v="28"/>
    <d v="2026-01-11T12:17:00"/>
    <n v="4999"/>
    <s v="UPI"/>
    <s v="captured"/>
    <n v="10"/>
    <s v="Merchant_017"/>
    <s v="grocery"/>
    <s v="North"/>
    <n v="2.0000000000000001E-4"/>
    <x v="7"/>
  </r>
  <r>
    <s v="TXN100052"/>
    <n v="277"/>
    <x v="29"/>
    <d v="2026-01-16T00:47:00"/>
    <n v="799"/>
    <s v="UPI"/>
    <s v="captured"/>
    <n v="44"/>
    <s v="Merchant_004"/>
    <s v="ecommerce"/>
    <s v="East"/>
    <n v="2.0000000000000001E-4"/>
    <x v="24"/>
  </r>
  <r>
    <s v="TXN100053"/>
    <n v="334"/>
    <x v="4"/>
    <d v="2026-01-08T20:04:00"/>
    <n v="149"/>
    <s v="Wallet"/>
    <s v="captured"/>
    <n v="96"/>
    <s v="Merchant_003"/>
    <s v="grocery"/>
    <s v="East"/>
    <n v="5.0000000000000001E-4"/>
    <x v="5"/>
  </r>
  <r>
    <s v="TXN100054"/>
    <n v="11"/>
    <x v="12"/>
    <d v="2026-01-01T07:12:00"/>
    <n v="299"/>
    <s v="UPI"/>
    <s v="captured"/>
    <n v="19"/>
    <s v="Merchant_040"/>
    <s v="entertainment"/>
    <s v="South"/>
    <n v="2.0000000000000001E-4"/>
    <x v="9"/>
  </r>
  <r>
    <s v="TXN100055"/>
    <n v="343"/>
    <x v="30"/>
    <d v="2026-01-08T04:30:00"/>
    <n v="99"/>
    <s v="UPI"/>
    <s v="captured"/>
    <n v="72"/>
    <s v="Merchant_008"/>
    <s v="food_delivery"/>
    <s v="North"/>
    <n v="2.0000000000000001E-4"/>
    <x v="5"/>
  </r>
  <r>
    <s v="TXN100056"/>
    <n v="132"/>
    <x v="31"/>
    <d v="2026-01-07T14:44:00"/>
    <n v="299"/>
    <s v="Wallet"/>
    <s v="captured"/>
    <n v="21"/>
    <s v="Merchant_024"/>
    <s v="grocery"/>
    <s v="North"/>
    <n v="5.0000000000000001E-4"/>
    <x v="25"/>
  </r>
  <r>
    <s v="TXN100057"/>
    <n v="59"/>
    <x v="2"/>
    <d v="2026-01-20T19:47:00"/>
    <n v="299"/>
    <s v="UPI"/>
    <s v="captured"/>
    <n v="39"/>
    <s v="Merchant_011"/>
    <s v="ecommerce"/>
    <s v="North"/>
    <n v="2.0000000000000001E-4"/>
    <x v="26"/>
  </r>
  <r>
    <s v="TXN100058"/>
    <n v="160"/>
    <x v="21"/>
    <d v="2026-01-04T18:01:00"/>
    <n v="49"/>
    <s v="Wallet"/>
    <s v="captured"/>
    <n v="86"/>
    <s v="Merchant_037"/>
    <s v="entertainment"/>
    <s v="South"/>
    <n v="5.0000000000000001E-4"/>
    <x v="1"/>
  </r>
  <r>
    <s v="TXN100059"/>
    <n v="102"/>
    <x v="32"/>
    <d v="2026-01-30T12:25:00"/>
    <n v="2999"/>
    <s v="UPI"/>
    <s v="captured"/>
    <n v="75"/>
    <s v="Merchant_005"/>
    <s v="recharge"/>
    <s v="South"/>
    <n v="2.0000000000000001E-4"/>
    <x v="3"/>
  </r>
  <r>
    <s v="TXN100060"/>
    <n v="53"/>
    <x v="15"/>
    <d v="2026-01-23T20:15:00"/>
    <n v="49"/>
    <s v="Netbanking"/>
    <s v="captured"/>
    <n v="87"/>
    <s v="Merchant_020"/>
    <s v="food_delivery"/>
    <s v="East"/>
    <n v="0.01"/>
    <x v="20"/>
  </r>
  <r>
    <s v="TXN100061"/>
    <n v="290"/>
    <x v="4"/>
    <d v="2026-01-20T03:50:00"/>
    <n v="99"/>
    <s v="Wallet"/>
    <s v="captured"/>
    <n v="44"/>
    <s v="Merchant_003"/>
    <s v="grocery"/>
    <s v="East"/>
    <n v="5.0000000000000001E-4"/>
    <x v="26"/>
  </r>
  <r>
    <s v="TXN100062"/>
    <n v="190"/>
    <x v="32"/>
    <d v="2026-01-18T13:42:00"/>
    <n v="299"/>
    <s v="UPI"/>
    <s v="captured"/>
    <n v="64"/>
    <s v="Merchant_005"/>
    <s v="recharge"/>
    <s v="South"/>
    <n v="2.0000000000000001E-4"/>
    <x v="15"/>
  </r>
  <r>
    <s v="TXN100063"/>
    <n v="216"/>
    <x v="33"/>
    <d v="2026-01-21T10:00:00"/>
    <n v="49"/>
    <s v="Card"/>
    <s v="captured"/>
    <n v="13"/>
    <s v="Merchant_032"/>
    <s v="food_delivery"/>
    <s v="West"/>
    <n v="1.4999999999999999E-2"/>
    <x v="8"/>
  </r>
  <r>
    <s v="TXN100064"/>
    <n v="236"/>
    <x v="34"/>
    <d v="2026-01-14T11:40:00"/>
    <n v="499"/>
    <s v="UPI"/>
    <s v="captured"/>
    <n v="55"/>
    <s v="Merchant_010"/>
    <s v="grocery"/>
    <s v="West"/>
    <n v="2.0000000000000001E-4"/>
    <x v="12"/>
  </r>
  <r>
    <s v="TXN100065"/>
    <n v="334"/>
    <x v="7"/>
    <d v="2026-01-06T23:33:00"/>
    <n v="499"/>
    <s v="Card"/>
    <s v="captured"/>
    <n v="78"/>
    <s v="Merchant_018"/>
    <s v="grocery"/>
    <s v="West"/>
    <n v="1.4999999999999999E-2"/>
    <x v="4"/>
  </r>
  <r>
    <s v="TXN100066"/>
    <n v="248"/>
    <x v="24"/>
    <d v="2026-01-26T17:49:00"/>
    <n v="799"/>
    <s v="Wallet"/>
    <s v="captured"/>
    <n v="55"/>
    <s v="Merchant_030"/>
    <s v="travel"/>
    <s v="West"/>
    <n v="5.0000000000000001E-4"/>
    <x v="16"/>
  </r>
  <r>
    <s v="TXN100067"/>
    <n v="138"/>
    <x v="17"/>
    <d v="2026-01-27T23:37:00"/>
    <n v="49"/>
    <s v="Card"/>
    <s v="captured"/>
    <n v="31"/>
    <s v="Merchant_021"/>
    <s v="food_delivery"/>
    <s v="East"/>
    <n v="1.4999999999999999E-2"/>
    <x v="6"/>
  </r>
  <r>
    <s v="TXN100068"/>
    <n v="231"/>
    <x v="0"/>
    <d v="2026-01-27T02:17:00"/>
    <n v="49"/>
    <s v="UPI"/>
    <s v="captured"/>
    <n v="96"/>
    <s v="Merchant_016"/>
    <s v="bill_payment"/>
    <s v="West"/>
    <n v="2.0000000000000001E-4"/>
    <x v="6"/>
  </r>
  <r>
    <s v="TXN100069"/>
    <n v="343"/>
    <x v="14"/>
    <d v="2026-01-15T18:39:00"/>
    <n v="49"/>
    <s v="UPI"/>
    <s v="captured"/>
    <n v="43"/>
    <s v="Merchant_025"/>
    <s v="travel"/>
    <s v="South"/>
    <n v="2.0000000000000001E-4"/>
    <x v="17"/>
  </r>
  <r>
    <s v="TXN100070"/>
    <n v="167"/>
    <x v="9"/>
    <d v="2026-01-01T15:54:00"/>
    <n v="499"/>
    <s v="Wallet"/>
    <s v="captured"/>
    <n v="62"/>
    <s v="Merchant_012"/>
    <s v="ecommerce"/>
    <s v="East"/>
    <n v="5.0000000000000001E-4"/>
    <x v="9"/>
  </r>
  <r>
    <s v="TXN100071"/>
    <n v="133"/>
    <x v="3"/>
    <d v="2026-01-07T11:51:00"/>
    <n v="499"/>
    <s v="UPI"/>
    <s v="captured"/>
    <n v="35"/>
    <s v="Merchant_022"/>
    <s v="travel"/>
    <s v="South"/>
    <n v="2.0000000000000001E-4"/>
    <x v="25"/>
  </r>
  <r>
    <s v="TXN100072"/>
    <n v="142"/>
    <x v="25"/>
    <d v="2026-01-29T19:44:00"/>
    <n v="799"/>
    <s v="Wallet"/>
    <s v="captured"/>
    <n v="1"/>
    <s v="Merchant_036"/>
    <s v="entertainment"/>
    <s v="East"/>
    <n v="5.0000000000000001E-4"/>
    <x v="0"/>
  </r>
  <r>
    <s v="TXN100073"/>
    <n v="124"/>
    <x v="1"/>
    <d v="2026-01-17T06:05:00"/>
    <n v="499"/>
    <s v="Wallet"/>
    <s v="captured"/>
    <n v="62"/>
    <s v="Merchant_027"/>
    <s v="ecommerce"/>
    <s v="North"/>
    <n v="5.0000000000000001E-4"/>
    <x v="18"/>
  </r>
  <r>
    <s v="TXN100074"/>
    <n v="244"/>
    <x v="33"/>
    <d v="2026-01-18T07:44:00"/>
    <n v="149"/>
    <s v="UPI"/>
    <s v="captured"/>
    <n v="57"/>
    <s v="Merchant_032"/>
    <s v="food_delivery"/>
    <s v="West"/>
    <n v="2.0000000000000001E-4"/>
    <x v="15"/>
  </r>
  <r>
    <s v="TXN100075"/>
    <n v="151"/>
    <x v="19"/>
    <d v="2026-01-26T00:05:00"/>
    <n v="4999"/>
    <s v="UPI"/>
    <s v="captured"/>
    <n v="51"/>
    <s v="Merchant_015"/>
    <s v="travel"/>
    <s v="North"/>
    <n v="2.0000000000000001E-4"/>
    <x v="16"/>
  </r>
  <r>
    <s v="TXN100076"/>
    <n v="340"/>
    <x v="35"/>
    <d v="2026-01-23T07:19:00"/>
    <n v="499"/>
    <s v="Card"/>
    <s v="captured"/>
    <n v="47"/>
    <s v="Merchant_038"/>
    <s v="grocery"/>
    <s v="East"/>
    <n v="1.4999999999999999E-2"/>
    <x v="20"/>
  </r>
  <r>
    <s v="TXN100077"/>
    <n v="177"/>
    <x v="10"/>
    <d v="2026-01-16T17:33:00"/>
    <n v="299"/>
    <s v="UPI"/>
    <s v="captured"/>
    <n v="95"/>
    <s v="Merchant_028"/>
    <s v="ecommerce"/>
    <s v="South"/>
    <n v="2.0000000000000001E-4"/>
    <x v="24"/>
  </r>
  <r>
    <s v="TXN100078"/>
    <n v="233"/>
    <x v="7"/>
    <d v="2026-01-18T10:22:00"/>
    <n v="499"/>
    <s v="UPI"/>
    <s v="captured"/>
    <n v="39"/>
    <s v="Merchant_018"/>
    <s v="grocery"/>
    <s v="West"/>
    <n v="2.0000000000000001E-4"/>
    <x v="15"/>
  </r>
  <r>
    <s v="TXN100079"/>
    <n v="99"/>
    <x v="17"/>
    <d v="2026-01-09T07:07:00"/>
    <n v="499"/>
    <s v="UPI"/>
    <s v="captured"/>
    <n v="15"/>
    <s v="Merchant_021"/>
    <s v="food_delivery"/>
    <s v="East"/>
    <n v="2.0000000000000001E-4"/>
    <x v="10"/>
  </r>
  <r>
    <s v="TXN100080"/>
    <n v="95"/>
    <x v="6"/>
    <d v="2026-01-24T17:48:00"/>
    <n v="2999"/>
    <s v="Netbanking"/>
    <s v="failed"/>
    <n v="27"/>
    <s v="Merchant_013"/>
    <s v="travel"/>
    <s v="East"/>
    <n v="0.01"/>
    <x v="2"/>
  </r>
  <r>
    <s v="TXN100081"/>
    <n v="302"/>
    <x v="36"/>
    <d v="2026-01-24T15:17:00"/>
    <n v="49"/>
    <s v="Netbanking"/>
    <s v="captured"/>
    <n v="76"/>
    <s v="Merchant_034"/>
    <s v="travel"/>
    <s v="South"/>
    <n v="0.01"/>
    <x v="2"/>
  </r>
  <r>
    <s v="TXN100082"/>
    <n v="100"/>
    <x v="13"/>
    <d v="2026-01-10T03:53:00"/>
    <n v="2999"/>
    <s v="Netbanking"/>
    <s v="captured"/>
    <n v="29"/>
    <s v="Merchant_019"/>
    <s v="grocery"/>
    <s v="North"/>
    <n v="0.01"/>
    <x v="27"/>
  </r>
  <r>
    <s v="TXN100083"/>
    <n v="8"/>
    <x v="8"/>
    <d v="2026-01-12T05:19:00"/>
    <n v="99"/>
    <s v="UPI"/>
    <s v="captured"/>
    <n v="16"/>
    <s v="Merchant_035"/>
    <s v="recharge"/>
    <s v="East"/>
    <n v="2.0000000000000001E-4"/>
    <x v="28"/>
  </r>
  <r>
    <s v="TXN100084"/>
    <n v="284"/>
    <x v="13"/>
    <d v="2026-01-09T01:03:00"/>
    <n v="99"/>
    <s v="UPI"/>
    <s v="captured"/>
    <n v="89"/>
    <s v="Merchant_019"/>
    <s v="grocery"/>
    <s v="North"/>
    <n v="2.0000000000000001E-4"/>
    <x v="10"/>
  </r>
  <r>
    <s v="TXN100085"/>
    <n v="252"/>
    <x v="23"/>
    <d v="2026-01-05T20:55:00"/>
    <n v="2999"/>
    <s v="Wallet"/>
    <s v="captured"/>
    <n v="1"/>
    <s v="Merchant_007"/>
    <s v="food_delivery"/>
    <s v="East"/>
    <n v="5.0000000000000001E-4"/>
    <x v="14"/>
  </r>
  <r>
    <s v="TXN100086"/>
    <n v="246"/>
    <x v="26"/>
    <d v="2026-01-19T09:30:00"/>
    <n v="49"/>
    <s v="Wallet"/>
    <s v="captured"/>
    <n v="43"/>
    <s v="Merchant_029"/>
    <s v="ecommerce"/>
    <s v="North"/>
    <n v="5.0000000000000001E-4"/>
    <x v="23"/>
  </r>
  <r>
    <s v="TXN100087"/>
    <n v="245"/>
    <x v="30"/>
    <d v="2026-01-06T01:16:00"/>
    <n v="49"/>
    <s v="UPI"/>
    <s v="chargeback"/>
    <n v="8"/>
    <s v="Merchant_008"/>
    <s v="food_delivery"/>
    <s v="North"/>
    <n v="2.0000000000000001E-4"/>
    <x v="4"/>
  </r>
  <r>
    <s v="TXN100088"/>
    <n v="296"/>
    <x v="29"/>
    <d v="2026-01-13T15:04:00"/>
    <n v="799"/>
    <s v="Wallet"/>
    <s v="captured"/>
    <n v="19"/>
    <s v="Merchant_004"/>
    <s v="ecommerce"/>
    <s v="East"/>
    <n v="5.0000000000000001E-4"/>
    <x v="11"/>
  </r>
  <r>
    <s v="TXN100089"/>
    <n v="44"/>
    <x v="0"/>
    <d v="2026-01-05T18:19:00"/>
    <n v="149"/>
    <s v="UPI"/>
    <s v="captured"/>
    <n v="15"/>
    <s v="Merchant_016"/>
    <s v="bill_payment"/>
    <s v="West"/>
    <n v="2.0000000000000001E-4"/>
    <x v="14"/>
  </r>
  <r>
    <s v="TXN100090"/>
    <n v="306"/>
    <x v="12"/>
    <d v="2026-01-18T13:38:00"/>
    <n v="799"/>
    <s v="Card"/>
    <s v="captured"/>
    <n v="28"/>
    <s v="Merchant_040"/>
    <s v="entertainment"/>
    <s v="South"/>
    <n v="1.4999999999999999E-2"/>
    <x v="15"/>
  </r>
  <r>
    <s v="TXN100091"/>
    <n v="231"/>
    <x v="26"/>
    <d v="2026-01-25T16:24:00"/>
    <n v="299"/>
    <s v="UPI"/>
    <s v="captured"/>
    <n v="38"/>
    <s v="Merchant_029"/>
    <s v="ecommerce"/>
    <s v="North"/>
    <n v="2.0000000000000001E-4"/>
    <x v="21"/>
  </r>
  <r>
    <s v="TXN100092"/>
    <n v="157"/>
    <x v="21"/>
    <d v="2026-01-28T18:27:00"/>
    <n v="499"/>
    <s v="Wallet"/>
    <s v="captured"/>
    <n v="79"/>
    <s v="Merchant_037"/>
    <s v="entertainment"/>
    <s v="South"/>
    <n v="5.0000000000000001E-4"/>
    <x v="19"/>
  </r>
  <r>
    <s v="TXN100093"/>
    <n v="51"/>
    <x v="16"/>
    <d v="2026-01-02T19:47:00"/>
    <n v="1499"/>
    <s v="UPI"/>
    <s v="captured"/>
    <n v="80"/>
    <s v="Merchant_014"/>
    <s v="grocery"/>
    <s v="East"/>
    <n v="2.0000000000000001E-4"/>
    <x v="22"/>
  </r>
  <r>
    <s v="TXN100094"/>
    <n v="42"/>
    <x v="2"/>
    <d v="2026-01-07T08:42:00"/>
    <n v="49"/>
    <s v="Wallet"/>
    <s v="captured"/>
    <n v="30"/>
    <s v="Merchant_011"/>
    <s v="ecommerce"/>
    <s v="North"/>
    <n v="5.0000000000000001E-4"/>
    <x v="25"/>
  </r>
  <r>
    <s v="TXN100095"/>
    <n v="81"/>
    <x v="37"/>
    <d v="2026-01-06T17:04:00"/>
    <n v="149"/>
    <s v="UPI"/>
    <s v="captured"/>
    <n v="52"/>
    <s v="Merchant_001"/>
    <s v="ecommerce"/>
    <s v="South"/>
    <n v="2.0000000000000001E-4"/>
    <x v="4"/>
  </r>
  <r>
    <s v="TXN100096"/>
    <n v="241"/>
    <x v="13"/>
    <d v="2026-01-15T22:38:00"/>
    <n v="299"/>
    <s v="UPI"/>
    <s v="captured"/>
    <n v="4"/>
    <s v="Merchant_019"/>
    <s v="grocery"/>
    <s v="North"/>
    <n v="2.0000000000000001E-4"/>
    <x v="17"/>
  </r>
  <r>
    <s v="TXN100097"/>
    <n v="145"/>
    <x v="24"/>
    <d v="2026-01-08T09:45:00"/>
    <n v="799"/>
    <s v="UPI"/>
    <s v="captured"/>
    <n v="9"/>
    <s v="Merchant_030"/>
    <s v="travel"/>
    <s v="West"/>
    <n v="2.0000000000000001E-4"/>
    <x v="5"/>
  </r>
  <r>
    <s v="TXN100098"/>
    <n v="136"/>
    <x v="35"/>
    <d v="2026-01-22T07:59:00"/>
    <n v="299"/>
    <s v="Card"/>
    <s v="captured"/>
    <n v="84"/>
    <s v="Merchant_038"/>
    <s v="grocery"/>
    <s v="East"/>
    <n v="1.4999999999999999E-2"/>
    <x v="13"/>
  </r>
  <r>
    <s v="TXN100099"/>
    <n v="59"/>
    <x v="8"/>
    <d v="2026-01-26T06:27:00"/>
    <n v="499"/>
    <s v="UPI"/>
    <s v="captured"/>
    <n v="28"/>
    <s v="Merchant_035"/>
    <s v="recharge"/>
    <s v="East"/>
    <n v="2.0000000000000001E-4"/>
    <x v="16"/>
  </r>
  <r>
    <s v="TXN100100"/>
    <n v="137"/>
    <x v="34"/>
    <d v="2026-01-21T04:58:00"/>
    <n v="299"/>
    <s v="UPI"/>
    <s v="captured"/>
    <n v="9"/>
    <s v="Merchant_010"/>
    <s v="grocery"/>
    <s v="West"/>
    <n v="2.0000000000000001E-4"/>
    <x v="8"/>
  </r>
  <r>
    <s v="TXN100101"/>
    <n v="158"/>
    <x v="38"/>
    <d v="2026-01-02T05:50:00"/>
    <n v="499"/>
    <s v="Netbanking"/>
    <s v="captured"/>
    <n v="95"/>
    <s v="Merchant_039"/>
    <s v="entertainment"/>
    <s v="North"/>
    <n v="0.01"/>
    <x v="22"/>
  </r>
  <r>
    <s v="TXN100102"/>
    <n v="148"/>
    <x v="26"/>
    <d v="2026-01-27T18:58:00"/>
    <n v="99"/>
    <s v="Card"/>
    <s v="captured"/>
    <n v="15"/>
    <s v="Merchant_029"/>
    <s v="ecommerce"/>
    <s v="North"/>
    <n v="1.4999999999999999E-2"/>
    <x v="6"/>
  </r>
  <r>
    <s v="TXN100103"/>
    <n v="207"/>
    <x v="7"/>
    <d v="2026-01-15T22:19:00"/>
    <n v="149"/>
    <s v="UPI"/>
    <s v="captured"/>
    <n v="64"/>
    <s v="Merchant_018"/>
    <s v="grocery"/>
    <s v="West"/>
    <n v="2.0000000000000001E-4"/>
    <x v="17"/>
  </r>
  <r>
    <s v="TXN100104"/>
    <n v="42"/>
    <x v="38"/>
    <d v="2026-01-18T15:28:00"/>
    <n v="2999"/>
    <s v="Card"/>
    <s v="captured"/>
    <n v="5"/>
    <s v="Merchant_039"/>
    <s v="entertainment"/>
    <s v="North"/>
    <n v="1.4999999999999999E-2"/>
    <x v="15"/>
  </r>
  <r>
    <s v="TXN100105"/>
    <n v="166"/>
    <x v="38"/>
    <d v="2026-01-29T13:47:00"/>
    <n v="149"/>
    <s v="UPI"/>
    <s v="captured"/>
    <n v="32"/>
    <s v="Merchant_039"/>
    <s v="entertainment"/>
    <s v="North"/>
    <n v="2.0000000000000001E-4"/>
    <x v="0"/>
  </r>
  <r>
    <s v="TXN100106"/>
    <n v="346"/>
    <x v="21"/>
    <d v="2026-01-01T02:14:00"/>
    <n v="99"/>
    <s v="UPI"/>
    <s v="captured"/>
    <n v="75"/>
    <s v="Merchant_037"/>
    <s v="entertainment"/>
    <s v="South"/>
    <n v="2.0000000000000001E-4"/>
    <x v="9"/>
  </r>
  <r>
    <s v="TXN100107"/>
    <n v="138"/>
    <x v="21"/>
    <d v="2026-01-01T21:52:00"/>
    <n v="499"/>
    <s v="UPI"/>
    <s v="captured"/>
    <n v="5"/>
    <s v="Merchant_037"/>
    <s v="entertainment"/>
    <s v="South"/>
    <n v="2.0000000000000001E-4"/>
    <x v="9"/>
  </r>
  <r>
    <s v="TXN100108"/>
    <n v="266"/>
    <x v="26"/>
    <d v="2026-01-25T05:30:00"/>
    <n v="499"/>
    <s v="Wallet"/>
    <s v="failed"/>
    <n v="35"/>
    <s v="Merchant_029"/>
    <s v="ecommerce"/>
    <s v="North"/>
    <n v="5.0000000000000001E-4"/>
    <x v="21"/>
  </r>
  <r>
    <s v="TXN100109"/>
    <n v="326"/>
    <x v="33"/>
    <d v="2026-01-06T18:27:00"/>
    <n v="149"/>
    <s v="UPI"/>
    <s v="captured"/>
    <n v="11"/>
    <s v="Merchant_032"/>
    <s v="food_delivery"/>
    <s v="West"/>
    <n v="2.0000000000000001E-4"/>
    <x v="4"/>
  </r>
  <r>
    <s v="TXN100110"/>
    <n v="171"/>
    <x v="17"/>
    <d v="2026-01-16T11:26:00"/>
    <n v="799"/>
    <s v="UPI"/>
    <s v="captured"/>
    <n v="85"/>
    <s v="Merchant_021"/>
    <s v="food_delivery"/>
    <s v="East"/>
    <n v="2.0000000000000001E-4"/>
    <x v="24"/>
  </r>
  <r>
    <s v="TXN100111"/>
    <n v="211"/>
    <x v="33"/>
    <d v="2026-01-04T05:21:00"/>
    <n v="49"/>
    <s v="UPI"/>
    <s v="captured"/>
    <n v="36"/>
    <s v="Merchant_032"/>
    <s v="food_delivery"/>
    <s v="West"/>
    <n v="2.0000000000000001E-4"/>
    <x v="1"/>
  </r>
  <r>
    <s v="TXN100112"/>
    <n v="282"/>
    <x v="4"/>
    <d v="2026-01-22T12:52:00"/>
    <n v="499"/>
    <s v="UPI"/>
    <s v="captured"/>
    <n v="58"/>
    <s v="Merchant_003"/>
    <s v="grocery"/>
    <s v="East"/>
    <n v="2.0000000000000001E-4"/>
    <x v="13"/>
  </r>
  <r>
    <s v="TXN100113"/>
    <n v="166"/>
    <x v="30"/>
    <d v="2026-01-03T10:16:00"/>
    <n v="299"/>
    <s v="UPI"/>
    <s v="captured"/>
    <n v="98"/>
    <s v="Merchant_008"/>
    <s v="food_delivery"/>
    <s v="North"/>
    <n v="2.0000000000000001E-4"/>
    <x v="29"/>
  </r>
  <r>
    <s v="TXN100114"/>
    <n v="1"/>
    <x v="8"/>
    <d v="2026-01-13T16:52:00"/>
    <n v="149"/>
    <s v="UPI"/>
    <s v="captured"/>
    <n v="59"/>
    <s v="Merchant_035"/>
    <s v="recharge"/>
    <s v="East"/>
    <n v="2.0000000000000001E-4"/>
    <x v="11"/>
  </r>
  <r>
    <s v="TXN100115"/>
    <n v="266"/>
    <x v="31"/>
    <d v="2026-01-14T01:12:00"/>
    <n v="499"/>
    <s v="UPI"/>
    <s v="captured"/>
    <n v="79"/>
    <s v="Merchant_024"/>
    <s v="grocery"/>
    <s v="North"/>
    <n v="2.0000000000000001E-4"/>
    <x v="12"/>
  </r>
  <r>
    <s v="TXN100116"/>
    <n v="227"/>
    <x v="29"/>
    <d v="2026-01-25T15:40:00"/>
    <n v="499"/>
    <s v="UPI"/>
    <s v="captured"/>
    <n v="26"/>
    <s v="Merchant_004"/>
    <s v="ecommerce"/>
    <s v="East"/>
    <n v="2.0000000000000001E-4"/>
    <x v="21"/>
  </r>
  <r>
    <s v="TXN100117"/>
    <n v="148"/>
    <x v="26"/>
    <d v="2026-01-09T17:08:00"/>
    <n v="499"/>
    <s v="UPI"/>
    <s v="captured"/>
    <n v="89"/>
    <s v="Merchant_029"/>
    <s v="ecommerce"/>
    <s v="North"/>
    <n v="2.0000000000000001E-4"/>
    <x v="10"/>
  </r>
  <r>
    <s v="TXN100118"/>
    <n v="323"/>
    <x v="38"/>
    <d v="2026-01-16T03:01:00"/>
    <n v="499"/>
    <s v="UPI"/>
    <s v="captured"/>
    <n v="30"/>
    <s v="Merchant_039"/>
    <s v="entertainment"/>
    <s v="North"/>
    <n v="2.0000000000000001E-4"/>
    <x v="24"/>
  </r>
  <r>
    <s v="TXN100119"/>
    <n v="283"/>
    <x v="37"/>
    <d v="2026-01-23T05:19:00"/>
    <n v="2999"/>
    <s v="Wallet"/>
    <s v="captured"/>
    <n v="70"/>
    <s v="Merchant_001"/>
    <s v="ecommerce"/>
    <s v="South"/>
    <n v="5.0000000000000001E-4"/>
    <x v="20"/>
  </r>
  <r>
    <s v="TXN100120"/>
    <n v="59"/>
    <x v="24"/>
    <d v="2026-01-14T02:14:00"/>
    <n v="499"/>
    <s v="UPI"/>
    <s v="captured"/>
    <n v="15"/>
    <s v="Merchant_030"/>
    <s v="travel"/>
    <s v="West"/>
    <n v="2.0000000000000001E-4"/>
    <x v="12"/>
  </r>
  <r>
    <s v="TXN100121"/>
    <n v="150"/>
    <x v="11"/>
    <d v="2026-01-21T04:31:00"/>
    <n v="2999"/>
    <s v="UPI"/>
    <s v="captured"/>
    <n v="90"/>
    <s v="Merchant_033"/>
    <s v="bill_payment"/>
    <s v="East"/>
    <n v="2.0000000000000001E-4"/>
    <x v="8"/>
  </r>
  <r>
    <s v="TXN100122"/>
    <n v="248"/>
    <x v="20"/>
    <d v="2026-01-09T13:53:00"/>
    <n v="1499"/>
    <s v="UPI"/>
    <s v="failed"/>
    <n v="31"/>
    <s v="Merchant_031"/>
    <s v="bill_payment"/>
    <s v="East"/>
    <n v="2.0000000000000001E-4"/>
    <x v="10"/>
  </r>
  <r>
    <s v="TXN100123"/>
    <n v="197"/>
    <x v="6"/>
    <d v="2026-01-15T17:09:00"/>
    <n v="49"/>
    <s v="UPI"/>
    <s v="captured"/>
    <n v="76"/>
    <s v="Merchant_013"/>
    <s v="travel"/>
    <s v="East"/>
    <n v="2.0000000000000001E-4"/>
    <x v="17"/>
  </r>
  <r>
    <s v="TXN100124"/>
    <n v="70"/>
    <x v="32"/>
    <d v="2026-01-17T23:56:00"/>
    <n v="499"/>
    <s v="UPI"/>
    <s v="captured"/>
    <n v="35"/>
    <s v="Merchant_005"/>
    <s v="recharge"/>
    <s v="South"/>
    <n v="2.0000000000000001E-4"/>
    <x v="18"/>
  </r>
  <r>
    <s v="TXN100125"/>
    <n v="260"/>
    <x v="7"/>
    <d v="2026-01-25T13:21:00"/>
    <n v="1499"/>
    <s v="UPI"/>
    <s v="captured"/>
    <n v="0"/>
    <s v="Merchant_018"/>
    <s v="grocery"/>
    <s v="West"/>
    <n v="2.0000000000000001E-4"/>
    <x v="21"/>
  </r>
  <r>
    <s v="TXN100126"/>
    <n v="301"/>
    <x v="35"/>
    <d v="2026-01-10T23:19:00"/>
    <n v="99"/>
    <s v="UPI"/>
    <s v="captured"/>
    <n v="84"/>
    <s v="Merchant_038"/>
    <s v="grocery"/>
    <s v="East"/>
    <n v="2.0000000000000001E-4"/>
    <x v="27"/>
  </r>
  <r>
    <s v="TXN100127"/>
    <n v="276"/>
    <x v="20"/>
    <d v="2026-01-16T04:28:00"/>
    <n v="499"/>
    <s v="Card"/>
    <s v="captured"/>
    <n v="44"/>
    <s v="Merchant_031"/>
    <s v="bill_payment"/>
    <s v="East"/>
    <n v="1.4999999999999999E-2"/>
    <x v="24"/>
  </r>
  <r>
    <s v="TXN100128"/>
    <n v="279"/>
    <x v="14"/>
    <d v="2026-01-11T17:48:00"/>
    <n v="799"/>
    <s v="UPI"/>
    <s v="captured"/>
    <n v="58"/>
    <s v="Merchant_025"/>
    <s v="travel"/>
    <s v="South"/>
    <n v="2.0000000000000001E-4"/>
    <x v="7"/>
  </r>
  <r>
    <s v="TXN100129"/>
    <n v="97"/>
    <x v="0"/>
    <d v="2026-01-30T10:55:00"/>
    <n v="799"/>
    <s v="Card"/>
    <s v="captured"/>
    <n v="73"/>
    <s v="Merchant_016"/>
    <s v="bill_payment"/>
    <s v="West"/>
    <n v="1.4999999999999999E-2"/>
    <x v="3"/>
  </r>
  <r>
    <s v="TXN100130"/>
    <n v="211"/>
    <x v="4"/>
    <d v="2026-01-13T07:54:00"/>
    <n v="149"/>
    <s v="UPI"/>
    <s v="chargeback"/>
    <n v="40"/>
    <s v="Merchant_003"/>
    <s v="grocery"/>
    <s v="East"/>
    <n v="2.0000000000000001E-4"/>
    <x v="11"/>
  </r>
  <r>
    <s v="TXN100131"/>
    <n v="196"/>
    <x v="14"/>
    <d v="2026-01-24T15:45:00"/>
    <n v="149"/>
    <s v="Netbanking"/>
    <s v="captured"/>
    <n v="84"/>
    <s v="Merchant_025"/>
    <s v="travel"/>
    <s v="South"/>
    <n v="0.01"/>
    <x v="2"/>
  </r>
  <r>
    <s v="TXN100132"/>
    <n v="254"/>
    <x v="4"/>
    <d v="2026-01-26T20:09:00"/>
    <n v="149"/>
    <s v="Card"/>
    <s v="captured"/>
    <n v="16"/>
    <s v="Merchant_003"/>
    <s v="grocery"/>
    <s v="East"/>
    <n v="1.4999999999999999E-2"/>
    <x v="16"/>
  </r>
  <r>
    <s v="TXN100133"/>
    <n v="52"/>
    <x v="26"/>
    <d v="2026-01-17T18:21:00"/>
    <n v="49"/>
    <s v="Netbanking"/>
    <s v="captured"/>
    <n v="12"/>
    <s v="Merchant_029"/>
    <s v="ecommerce"/>
    <s v="North"/>
    <n v="0.01"/>
    <x v="18"/>
  </r>
  <r>
    <s v="TXN100134"/>
    <n v="74"/>
    <x v="1"/>
    <d v="2026-01-17T14:00:00"/>
    <n v="799"/>
    <s v="UPI"/>
    <s v="captured"/>
    <n v="83"/>
    <s v="Merchant_027"/>
    <s v="ecommerce"/>
    <s v="North"/>
    <n v="2.0000000000000001E-4"/>
    <x v="18"/>
  </r>
  <r>
    <s v="TXN100135"/>
    <n v="136"/>
    <x v="3"/>
    <d v="2026-01-05T02:30:00"/>
    <n v="149"/>
    <s v="UPI"/>
    <s v="captured"/>
    <n v="79"/>
    <s v="Merchant_022"/>
    <s v="travel"/>
    <s v="South"/>
    <n v="2.0000000000000001E-4"/>
    <x v="14"/>
  </r>
  <r>
    <s v="TXN100136"/>
    <n v="42"/>
    <x v="3"/>
    <d v="2026-01-23T12:41:00"/>
    <n v="49"/>
    <s v="UPI"/>
    <s v="captured"/>
    <n v="86"/>
    <s v="Merchant_022"/>
    <s v="travel"/>
    <s v="South"/>
    <n v="2.0000000000000001E-4"/>
    <x v="20"/>
  </r>
  <r>
    <s v="TXN100137"/>
    <n v="163"/>
    <x v="33"/>
    <d v="2026-01-28T17:24:00"/>
    <n v="2999"/>
    <s v="Wallet"/>
    <s v="failed"/>
    <n v="69"/>
    <s v="Merchant_032"/>
    <s v="food_delivery"/>
    <s v="West"/>
    <n v="5.0000000000000001E-4"/>
    <x v="19"/>
  </r>
  <r>
    <s v="TXN100138"/>
    <n v="121"/>
    <x v="13"/>
    <d v="2026-01-02T19:04:00"/>
    <n v="149"/>
    <s v="UPI"/>
    <s v="captured"/>
    <n v="29"/>
    <s v="Merchant_019"/>
    <s v="grocery"/>
    <s v="North"/>
    <n v="2.0000000000000001E-4"/>
    <x v="22"/>
  </r>
  <r>
    <s v="TXN100139"/>
    <n v="51"/>
    <x v="23"/>
    <d v="2026-01-24T02:27:00"/>
    <n v="499"/>
    <s v="Card"/>
    <s v="captured"/>
    <n v="56"/>
    <s v="Merchant_007"/>
    <s v="food_delivery"/>
    <s v="East"/>
    <n v="1.4999999999999999E-2"/>
    <x v="2"/>
  </r>
  <r>
    <s v="TXN100140"/>
    <n v="15"/>
    <x v="4"/>
    <d v="2026-01-06T22:19:00"/>
    <n v="799"/>
    <s v="UPI"/>
    <s v="captured"/>
    <n v="41"/>
    <s v="Merchant_003"/>
    <s v="grocery"/>
    <s v="East"/>
    <n v="2.0000000000000001E-4"/>
    <x v="4"/>
  </r>
  <r>
    <s v="TXN100141"/>
    <n v="184"/>
    <x v="31"/>
    <d v="2026-01-26T01:18:00"/>
    <n v="49"/>
    <s v="UPI"/>
    <s v="captured"/>
    <n v="55"/>
    <s v="Merchant_024"/>
    <s v="grocery"/>
    <s v="North"/>
    <n v="2.0000000000000001E-4"/>
    <x v="16"/>
  </r>
  <r>
    <s v="TXN100142"/>
    <n v="211"/>
    <x v="21"/>
    <d v="2026-01-05T07:33:00"/>
    <n v="1499"/>
    <s v="UPI"/>
    <s v="captured"/>
    <n v="87"/>
    <s v="Merchant_037"/>
    <s v="entertainment"/>
    <s v="South"/>
    <n v="2.0000000000000001E-4"/>
    <x v="14"/>
  </r>
  <r>
    <s v="TXN100143"/>
    <n v="90"/>
    <x v="18"/>
    <d v="2026-01-26T05:10:00"/>
    <n v="49"/>
    <s v="Card"/>
    <s v="captured"/>
    <n v="78"/>
    <s v="Merchant_006"/>
    <s v="food_delivery"/>
    <s v="South"/>
    <n v="1.4999999999999999E-2"/>
    <x v="16"/>
  </r>
  <r>
    <s v="TXN100144"/>
    <n v="350"/>
    <x v="0"/>
    <d v="2026-01-28T12:39:00"/>
    <n v="49"/>
    <s v="UPI"/>
    <s v="captured"/>
    <n v="63"/>
    <s v="Merchant_016"/>
    <s v="bill_payment"/>
    <s v="West"/>
    <n v="2.0000000000000001E-4"/>
    <x v="19"/>
  </r>
  <r>
    <s v="TXN100145"/>
    <n v="119"/>
    <x v="24"/>
    <d v="2026-01-30T18:09:00"/>
    <n v="49"/>
    <s v="Card"/>
    <s v="captured"/>
    <n v="81"/>
    <s v="Merchant_030"/>
    <s v="travel"/>
    <s v="West"/>
    <n v="1.4999999999999999E-2"/>
    <x v="3"/>
  </r>
  <r>
    <s v="TXN100146"/>
    <n v="342"/>
    <x v="37"/>
    <d v="2026-01-09T14:16:00"/>
    <n v="49"/>
    <s v="UPI"/>
    <s v="captured"/>
    <n v="59"/>
    <s v="Merchant_001"/>
    <s v="ecommerce"/>
    <s v="South"/>
    <n v="2.0000000000000001E-4"/>
    <x v="10"/>
  </r>
  <r>
    <s v="TXN100147"/>
    <n v="280"/>
    <x v="2"/>
    <d v="2026-01-29T09:43:00"/>
    <n v="149"/>
    <s v="UPI"/>
    <s v="chargeback"/>
    <n v="9"/>
    <s v="Merchant_011"/>
    <s v="ecommerce"/>
    <s v="North"/>
    <n v="2.0000000000000001E-4"/>
    <x v="0"/>
  </r>
  <r>
    <s v="TXN100148"/>
    <n v="154"/>
    <x v="10"/>
    <d v="2026-01-15T11:37:00"/>
    <n v="2999"/>
    <s v="Netbanking"/>
    <s v="captured"/>
    <n v="88"/>
    <s v="Merchant_028"/>
    <s v="ecommerce"/>
    <s v="South"/>
    <n v="0.01"/>
    <x v="17"/>
  </r>
  <r>
    <s v="TXN100149"/>
    <n v="155"/>
    <x v="6"/>
    <d v="2026-01-09T14:54:00"/>
    <n v="149"/>
    <s v="UPI"/>
    <s v="captured"/>
    <n v="49"/>
    <s v="Merchant_013"/>
    <s v="travel"/>
    <s v="East"/>
    <n v="2.0000000000000001E-4"/>
    <x v="10"/>
  </r>
  <r>
    <s v="TXN100150"/>
    <n v="122"/>
    <x v="14"/>
    <d v="2026-01-28T15:06:00"/>
    <n v="299"/>
    <s v="UPI"/>
    <s v="captured"/>
    <n v="73"/>
    <s v="Merchant_025"/>
    <s v="travel"/>
    <s v="South"/>
    <n v="2.0000000000000001E-4"/>
    <x v="19"/>
  </r>
  <r>
    <s v="TXN100151"/>
    <n v="152"/>
    <x v="27"/>
    <d v="2026-01-12T18:18:00"/>
    <n v="49"/>
    <s v="UPI"/>
    <s v="captured"/>
    <n v="84"/>
    <s v="Merchant_002"/>
    <s v="grocery"/>
    <s v="West"/>
    <n v="2.0000000000000001E-4"/>
    <x v="28"/>
  </r>
  <r>
    <s v="TXN100152"/>
    <n v="290"/>
    <x v="29"/>
    <d v="2026-01-13T08:00:00"/>
    <n v="149"/>
    <s v="UPI"/>
    <s v="captured"/>
    <n v="77"/>
    <s v="Merchant_004"/>
    <s v="ecommerce"/>
    <s v="East"/>
    <n v="2.0000000000000001E-4"/>
    <x v="11"/>
  </r>
  <r>
    <s v="TXN100153"/>
    <n v="147"/>
    <x v="19"/>
    <d v="2026-01-24T15:53:00"/>
    <n v="49"/>
    <s v="Wallet"/>
    <s v="captured"/>
    <n v="77"/>
    <s v="Merchant_015"/>
    <s v="travel"/>
    <s v="North"/>
    <n v="5.0000000000000001E-4"/>
    <x v="2"/>
  </r>
  <r>
    <s v="TXN100154"/>
    <n v="326"/>
    <x v="6"/>
    <d v="2026-01-26T11:14:00"/>
    <n v="299"/>
    <s v="Netbanking"/>
    <s v="captured"/>
    <n v="79"/>
    <s v="Merchant_013"/>
    <s v="travel"/>
    <s v="East"/>
    <n v="0.01"/>
    <x v="16"/>
  </r>
  <r>
    <s v="TXN100155"/>
    <n v="338"/>
    <x v="39"/>
    <d v="2026-01-09T21:48:00"/>
    <n v="99"/>
    <s v="Card"/>
    <s v="captured"/>
    <n v="80"/>
    <s v="Merchant_009"/>
    <s v="ecommerce"/>
    <s v="North"/>
    <n v="1.4999999999999999E-2"/>
    <x v="10"/>
  </r>
  <r>
    <s v="TXN100156"/>
    <n v="21"/>
    <x v="15"/>
    <d v="2026-01-04T20:41:00"/>
    <n v="2999"/>
    <s v="UPI"/>
    <s v="captured"/>
    <n v="100"/>
    <s v="Merchant_020"/>
    <s v="food_delivery"/>
    <s v="East"/>
    <n v="2.0000000000000001E-4"/>
    <x v="1"/>
  </r>
  <r>
    <s v="TXN100157"/>
    <n v="187"/>
    <x v="39"/>
    <d v="2026-01-15T01:37:00"/>
    <n v="49"/>
    <s v="Card"/>
    <s v="failed"/>
    <n v="11"/>
    <s v="Merchant_009"/>
    <s v="ecommerce"/>
    <s v="North"/>
    <n v="1.4999999999999999E-2"/>
    <x v="17"/>
  </r>
  <r>
    <s v="TXN100158"/>
    <n v="213"/>
    <x v="9"/>
    <d v="2026-01-30T09:20:00"/>
    <n v="4999"/>
    <s v="UPI"/>
    <s v="captured"/>
    <n v="25"/>
    <s v="Merchant_012"/>
    <s v="ecommerce"/>
    <s v="East"/>
    <n v="2.0000000000000001E-4"/>
    <x v="3"/>
  </r>
  <r>
    <s v="TXN100159"/>
    <n v="188"/>
    <x v="36"/>
    <d v="2026-01-05T17:56:00"/>
    <n v="2999"/>
    <s v="UPI"/>
    <s v="captured"/>
    <n v="64"/>
    <s v="Merchant_034"/>
    <s v="travel"/>
    <s v="South"/>
    <n v="2.0000000000000001E-4"/>
    <x v="14"/>
  </r>
  <r>
    <s v="TXN100160"/>
    <n v="85"/>
    <x v="28"/>
    <d v="2026-01-30T08:53:00"/>
    <n v="499"/>
    <s v="UPI"/>
    <s v="captured"/>
    <n v="61"/>
    <s v="Merchant_017"/>
    <s v="grocery"/>
    <s v="North"/>
    <n v="2.0000000000000001E-4"/>
    <x v="3"/>
  </r>
  <r>
    <s v="TXN100161"/>
    <n v="174"/>
    <x v="30"/>
    <d v="2026-01-26T09:47:00"/>
    <n v="299"/>
    <s v="Netbanking"/>
    <s v="captured"/>
    <n v="59"/>
    <s v="Merchant_008"/>
    <s v="food_delivery"/>
    <s v="North"/>
    <n v="0.01"/>
    <x v="16"/>
  </r>
  <r>
    <s v="TXN100162"/>
    <n v="116"/>
    <x v="22"/>
    <d v="2026-01-03T04:48:00"/>
    <n v="99"/>
    <s v="Netbanking"/>
    <s v="captured"/>
    <n v="71"/>
    <s v="Merchant_026"/>
    <s v="food_delivery"/>
    <s v="East"/>
    <n v="0.01"/>
    <x v="29"/>
  </r>
  <r>
    <s v="TXN100163"/>
    <n v="203"/>
    <x v="37"/>
    <d v="2026-01-12T02:50:00"/>
    <n v="149"/>
    <s v="Wallet"/>
    <s v="captured"/>
    <n v="33"/>
    <s v="Merchant_001"/>
    <s v="ecommerce"/>
    <s v="South"/>
    <n v="5.0000000000000001E-4"/>
    <x v="28"/>
  </r>
  <r>
    <s v="TXN100164"/>
    <n v="189"/>
    <x v="28"/>
    <d v="2026-01-18T03:29:00"/>
    <n v="99"/>
    <s v="UPI"/>
    <s v="captured"/>
    <n v="74"/>
    <s v="Merchant_017"/>
    <s v="grocery"/>
    <s v="North"/>
    <n v="2.0000000000000001E-4"/>
    <x v="15"/>
  </r>
  <r>
    <s v="TXN100165"/>
    <n v="56"/>
    <x v="19"/>
    <d v="2026-01-13T20:23:00"/>
    <n v="299"/>
    <s v="UPI"/>
    <s v="captured"/>
    <n v="60"/>
    <s v="Merchant_015"/>
    <s v="travel"/>
    <s v="North"/>
    <n v="2.0000000000000001E-4"/>
    <x v="11"/>
  </r>
  <r>
    <s v="TXN100166"/>
    <n v="288"/>
    <x v="17"/>
    <d v="2026-01-01T19:56:00"/>
    <n v="4999"/>
    <s v="Wallet"/>
    <s v="failed"/>
    <n v="78"/>
    <s v="Merchant_021"/>
    <s v="food_delivery"/>
    <s v="East"/>
    <n v="5.0000000000000001E-4"/>
    <x v="9"/>
  </r>
  <r>
    <s v="TXN100167"/>
    <n v="326"/>
    <x v="24"/>
    <d v="2026-01-08T20:04:00"/>
    <n v="99"/>
    <s v="Card"/>
    <s v="captured"/>
    <n v="89"/>
    <s v="Merchant_030"/>
    <s v="travel"/>
    <s v="West"/>
    <n v="1.4999999999999999E-2"/>
    <x v="5"/>
  </r>
  <r>
    <s v="TXN100168"/>
    <n v="60"/>
    <x v="39"/>
    <d v="2026-01-10T20:26:00"/>
    <n v="49"/>
    <s v="Netbanking"/>
    <s v="captured"/>
    <n v="5"/>
    <s v="Merchant_009"/>
    <s v="ecommerce"/>
    <s v="North"/>
    <n v="0.01"/>
    <x v="27"/>
  </r>
  <r>
    <s v="TXN100169"/>
    <n v="60"/>
    <x v="23"/>
    <d v="2026-01-02T09:31:00"/>
    <n v="2999"/>
    <s v="Wallet"/>
    <s v="captured"/>
    <n v="30"/>
    <s v="Merchant_007"/>
    <s v="food_delivery"/>
    <s v="East"/>
    <n v="5.0000000000000001E-4"/>
    <x v="22"/>
  </r>
  <r>
    <s v="TXN100170"/>
    <n v="199"/>
    <x v="24"/>
    <d v="2026-01-29T17:08:00"/>
    <n v="149"/>
    <s v="Netbanking"/>
    <s v="captured"/>
    <n v="47"/>
    <s v="Merchant_030"/>
    <s v="travel"/>
    <s v="West"/>
    <n v="0.01"/>
    <x v="0"/>
  </r>
  <r>
    <s v="TXN100171"/>
    <n v="277"/>
    <x v="1"/>
    <d v="2026-01-22T23:44:00"/>
    <n v="49"/>
    <s v="UPI"/>
    <s v="captured"/>
    <n v="75"/>
    <s v="Merchant_027"/>
    <s v="ecommerce"/>
    <s v="North"/>
    <n v="2.0000000000000001E-4"/>
    <x v="13"/>
  </r>
  <r>
    <s v="TXN100172"/>
    <n v="213"/>
    <x v="23"/>
    <d v="2026-01-24T23:09:00"/>
    <n v="799"/>
    <s v="Netbanking"/>
    <s v="captured"/>
    <n v="62"/>
    <s v="Merchant_007"/>
    <s v="food_delivery"/>
    <s v="East"/>
    <n v="0.01"/>
    <x v="2"/>
  </r>
  <r>
    <s v="TXN100173"/>
    <n v="17"/>
    <x v="31"/>
    <d v="2026-01-20T13:17:00"/>
    <n v="299"/>
    <s v="UPI"/>
    <s v="captured"/>
    <n v="27"/>
    <s v="Merchant_024"/>
    <s v="grocery"/>
    <s v="North"/>
    <n v="2.0000000000000001E-4"/>
    <x v="26"/>
  </r>
  <r>
    <s v="TXN100174"/>
    <n v="186"/>
    <x v="23"/>
    <d v="2026-01-15T14:15:00"/>
    <n v="1499"/>
    <s v="Card"/>
    <s v="failed"/>
    <n v="87"/>
    <s v="Merchant_007"/>
    <s v="food_delivery"/>
    <s v="East"/>
    <n v="1.4999999999999999E-2"/>
    <x v="17"/>
  </r>
  <r>
    <s v="TXN100175"/>
    <n v="331"/>
    <x v="5"/>
    <d v="2026-01-12T17:57:00"/>
    <n v="149"/>
    <s v="UPI"/>
    <s v="captured"/>
    <n v="7"/>
    <s v="Merchant_023"/>
    <s v="travel"/>
    <s v="North"/>
    <n v="2.0000000000000001E-4"/>
    <x v="28"/>
  </r>
  <r>
    <s v="TXN100176"/>
    <n v="63"/>
    <x v="24"/>
    <d v="2026-01-13T08:12:00"/>
    <n v="1499"/>
    <s v="Card"/>
    <s v="captured"/>
    <n v="11"/>
    <s v="Merchant_030"/>
    <s v="travel"/>
    <s v="West"/>
    <n v="1.4999999999999999E-2"/>
    <x v="11"/>
  </r>
  <r>
    <s v="TXN100177"/>
    <n v="328"/>
    <x v="38"/>
    <d v="2026-01-22T06:41:00"/>
    <n v="4999"/>
    <s v="Wallet"/>
    <s v="chargeback"/>
    <n v="2"/>
    <s v="Merchant_039"/>
    <s v="entertainment"/>
    <s v="North"/>
    <n v="5.0000000000000001E-4"/>
    <x v="13"/>
  </r>
  <r>
    <s v="TXN100178"/>
    <n v="65"/>
    <x v="21"/>
    <d v="2026-01-02T10:15:00"/>
    <n v="2999"/>
    <s v="Card"/>
    <s v="captured"/>
    <n v="26"/>
    <s v="Merchant_037"/>
    <s v="entertainment"/>
    <s v="South"/>
    <n v="1.4999999999999999E-2"/>
    <x v="22"/>
  </r>
  <r>
    <s v="TXN100179"/>
    <n v="301"/>
    <x v="16"/>
    <d v="2026-01-03T17:13:00"/>
    <n v="149"/>
    <s v="UPI"/>
    <s v="captured"/>
    <n v="29"/>
    <s v="Merchant_014"/>
    <s v="grocery"/>
    <s v="East"/>
    <n v="2.0000000000000001E-4"/>
    <x v="29"/>
  </r>
  <r>
    <s v="TXN100180"/>
    <n v="306"/>
    <x v="37"/>
    <d v="2026-01-11T04:50:00"/>
    <n v="299"/>
    <s v="UPI"/>
    <s v="failed"/>
    <n v="35"/>
    <s v="Merchant_001"/>
    <s v="ecommerce"/>
    <s v="South"/>
    <n v="2.0000000000000001E-4"/>
    <x v="7"/>
  </r>
  <r>
    <s v="TXN100181"/>
    <n v="277"/>
    <x v="28"/>
    <d v="2026-01-28T04:08:00"/>
    <n v="299"/>
    <s v="UPI"/>
    <s v="captured"/>
    <n v="22"/>
    <s v="Merchant_017"/>
    <s v="grocery"/>
    <s v="North"/>
    <n v="2.0000000000000001E-4"/>
    <x v="19"/>
  </r>
  <r>
    <s v="TXN100182"/>
    <n v="14"/>
    <x v="39"/>
    <d v="2026-01-04T21:55:00"/>
    <n v="499"/>
    <s v="UPI"/>
    <s v="captured"/>
    <n v="1"/>
    <s v="Merchant_009"/>
    <s v="ecommerce"/>
    <s v="North"/>
    <n v="2.0000000000000001E-4"/>
    <x v="1"/>
  </r>
  <r>
    <s v="TXN100183"/>
    <n v="166"/>
    <x v="27"/>
    <d v="2026-01-12T07:37:00"/>
    <n v="299"/>
    <s v="Card"/>
    <s v="captured"/>
    <n v="22"/>
    <s v="Merchant_002"/>
    <s v="grocery"/>
    <s v="West"/>
    <n v="1.4999999999999999E-2"/>
    <x v="28"/>
  </r>
  <r>
    <s v="TXN100184"/>
    <n v="216"/>
    <x v="36"/>
    <d v="2026-01-09T01:08:00"/>
    <n v="299"/>
    <s v="Card"/>
    <s v="captured"/>
    <n v="14"/>
    <s v="Merchant_034"/>
    <s v="travel"/>
    <s v="South"/>
    <n v="1.4999999999999999E-2"/>
    <x v="10"/>
  </r>
  <r>
    <s v="TXN100185"/>
    <n v="230"/>
    <x v="31"/>
    <d v="2026-01-24T02:30:00"/>
    <n v="49"/>
    <s v="UPI"/>
    <s v="captured"/>
    <n v="65"/>
    <s v="Merchant_024"/>
    <s v="grocery"/>
    <s v="North"/>
    <n v="2.0000000000000001E-4"/>
    <x v="2"/>
  </r>
  <r>
    <s v="TXN100186"/>
    <n v="258"/>
    <x v="19"/>
    <d v="2026-01-19T03:28:00"/>
    <n v="499"/>
    <s v="Wallet"/>
    <s v="captured"/>
    <n v="78"/>
    <s v="Merchant_015"/>
    <s v="travel"/>
    <s v="North"/>
    <n v="5.0000000000000001E-4"/>
    <x v="23"/>
  </r>
  <r>
    <s v="TXN100187"/>
    <n v="338"/>
    <x v="36"/>
    <d v="2026-01-02T23:50:00"/>
    <n v="49"/>
    <s v="UPI"/>
    <s v="captured"/>
    <n v="38"/>
    <s v="Merchant_034"/>
    <s v="travel"/>
    <s v="South"/>
    <n v="2.0000000000000001E-4"/>
    <x v="22"/>
  </r>
  <r>
    <s v="TXN100188"/>
    <n v="32"/>
    <x v="20"/>
    <d v="2026-01-15T20:01:00"/>
    <n v="299"/>
    <s v="UPI"/>
    <s v="captured"/>
    <n v="51"/>
    <s v="Merchant_031"/>
    <s v="bill_payment"/>
    <s v="East"/>
    <n v="2.0000000000000001E-4"/>
    <x v="17"/>
  </r>
  <r>
    <s v="TXN100189"/>
    <n v="252"/>
    <x v="26"/>
    <d v="2026-01-14T21:06:00"/>
    <n v="1499"/>
    <s v="UPI"/>
    <s v="captured"/>
    <n v="9"/>
    <s v="Merchant_029"/>
    <s v="ecommerce"/>
    <s v="North"/>
    <n v="2.0000000000000001E-4"/>
    <x v="12"/>
  </r>
  <r>
    <s v="TXN100190"/>
    <n v="312"/>
    <x v="34"/>
    <d v="2026-01-29T02:20:00"/>
    <n v="799"/>
    <s v="UPI"/>
    <s v="captured"/>
    <n v="8"/>
    <s v="Merchant_010"/>
    <s v="grocery"/>
    <s v="West"/>
    <n v="2.0000000000000001E-4"/>
    <x v="0"/>
  </r>
  <r>
    <s v="TXN100191"/>
    <n v="325"/>
    <x v="35"/>
    <d v="2026-01-05T08:39:00"/>
    <n v="1499"/>
    <s v="Netbanking"/>
    <s v="captured"/>
    <n v="70"/>
    <s v="Merchant_038"/>
    <s v="grocery"/>
    <s v="East"/>
    <n v="0.01"/>
    <x v="14"/>
  </r>
  <r>
    <s v="TXN100192"/>
    <n v="306"/>
    <x v="36"/>
    <d v="2026-01-23T10:24:00"/>
    <n v="2999"/>
    <s v="UPI"/>
    <s v="captured"/>
    <n v="37"/>
    <s v="Merchant_034"/>
    <s v="travel"/>
    <s v="South"/>
    <n v="2.0000000000000001E-4"/>
    <x v="20"/>
  </r>
  <r>
    <s v="TXN100193"/>
    <n v="221"/>
    <x v="23"/>
    <d v="2026-01-15T16:38:00"/>
    <n v="149"/>
    <s v="Netbanking"/>
    <s v="captured"/>
    <n v="89"/>
    <s v="Merchant_007"/>
    <s v="food_delivery"/>
    <s v="East"/>
    <n v="0.01"/>
    <x v="17"/>
  </r>
  <r>
    <s v="TXN100194"/>
    <n v="283"/>
    <x v="16"/>
    <d v="2026-01-04T20:41:00"/>
    <n v="99"/>
    <s v="Wallet"/>
    <s v="captured"/>
    <n v="55"/>
    <s v="Merchant_014"/>
    <s v="grocery"/>
    <s v="East"/>
    <n v="5.0000000000000001E-4"/>
    <x v="1"/>
  </r>
  <r>
    <s v="TXN100195"/>
    <n v="174"/>
    <x v="24"/>
    <d v="2026-01-15T07:26:00"/>
    <n v="49"/>
    <s v="UPI"/>
    <s v="captured"/>
    <n v="51"/>
    <s v="Merchant_030"/>
    <s v="travel"/>
    <s v="West"/>
    <n v="2.0000000000000001E-4"/>
    <x v="17"/>
  </r>
  <r>
    <s v="TXN100196"/>
    <n v="161"/>
    <x v="10"/>
    <d v="2026-01-14T23:06:00"/>
    <n v="49"/>
    <s v="UPI"/>
    <s v="captured"/>
    <n v="40"/>
    <s v="Merchant_028"/>
    <s v="ecommerce"/>
    <s v="South"/>
    <n v="2.0000000000000001E-4"/>
    <x v="12"/>
  </r>
  <r>
    <s v="TXN100197"/>
    <n v="79"/>
    <x v="20"/>
    <d v="2026-01-22T08:23:00"/>
    <n v="99"/>
    <s v="UPI"/>
    <s v="captured"/>
    <n v="8"/>
    <s v="Merchant_031"/>
    <s v="bill_payment"/>
    <s v="East"/>
    <n v="2.0000000000000001E-4"/>
    <x v="13"/>
  </r>
  <r>
    <s v="TXN100198"/>
    <n v="222"/>
    <x v="23"/>
    <d v="2026-01-03T02:05:00"/>
    <n v="149"/>
    <s v="Wallet"/>
    <s v="captured"/>
    <n v="95"/>
    <s v="Merchant_007"/>
    <s v="food_delivery"/>
    <s v="East"/>
    <n v="5.0000000000000001E-4"/>
    <x v="29"/>
  </r>
  <r>
    <s v="TXN100199"/>
    <n v="67"/>
    <x v="25"/>
    <d v="2026-01-24T11:51:00"/>
    <n v="99"/>
    <s v="UPI"/>
    <s v="captured"/>
    <n v="7"/>
    <s v="Merchant_036"/>
    <s v="entertainment"/>
    <s v="East"/>
    <n v="2.0000000000000001E-4"/>
    <x v="2"/>
  </r>
  <r>
    <s v="TXN100200"/>
    <n v="169"/>
    <x v="30"/>
    <d v="2026-01-19T17:35:00"/>
    <n v="99"/>
    <s v="UPI"/>
    <s v="captured"/>
    <n v="52"/>
    <s v="Merchant_008"/>
    <s v="food_delivery"/>
    <s v="North"/>
    <n v="2.0000000000000001E-4"/>
    <x v="23"/>
  </r>
  <r>
    <s v="TXN100201"/>
    <n v="217"/>
    <x v="29"/>
    <d v="2026-01-12T21:48:00"/>
    <n v="49"/>
    <s v="UPI"/>
    <s v="captured"/>
    <n v="36"/>
    <s v="Merchant_004"/>
    <s v="ecommerce"/>
    <s v="East"/>
    <n v="2.0000000000000001E-4"/>
    <x v="28"/>
  </r>
  <r>
    <s v="TXN100202"/>
    <n v="54"/>
    <x v="21"/>
    <d v="2026-01-20T09:22:00"/>
    <n v="149"/>
    <s v="UPI"/>
    <s v="captured"/>
    <n v="64"/>
    <s v="Merchant_037"/>
    <s v="entertainment"/>
    <s v="South"/>
    <n v="2.0000000000000001E-4"/>
    <x v="26"/>
  </r>
  <r>
    <s v="TXN100203"/>
    <n v="247"/>
    <x v="19"/>
    <d v="2026-01-07T04:42:00"/>
    <n v="49"/>
    <s v="Card"/>
    <s v="captured"/>
    <n v="13"/>
    <s v="Merchant_015"/>
    <s v="travel"/>
    <s v="North"/>
    <n v="1.4999999999999999E-2"/>
    <x v="25"/>
  </r>
  <r>
    <s v="TXN100204"/>
    <n v="59"/>
    <x v="7"/>
    <d v="2026-01-12T17:23:00"/>
    <n v="49"/>
    <s v="Card"/>
    <s v="captured"/>
    <n v="73"/>
    <s v="Merchant_018"/>
    <s v="grocery"/>
    <s v="West"/>
    <n v="1.4999999999999999E-2"/>
    <x v="28"/>
  </r>
  <r>
    <s v="TXN100205"/>
    <n v="288"/>
    <x v="12"/>
    <d v="2026-01-08T13:54:00"/>
    <n v="49"/>
    <s v="UPI"/>
    <s v="failed"/>
    <n v="78"/>
    <s v="Merchant_040"/>
    <s v="entertainment"/>
    <s v="South"/>
    <n v="2.0000000000000001E-4"/>
    <x v="5"/>
  </r>
  <r>
    <s v="TXN100206"/>
    <n v="14"/>
    <x v="38"/>
    <d v="2026-01-22T20:35:00"/>
    <n v="799"/>
    <s v="UPI"/>
    <s v="captured"/>
    <n v="84"/>
    <s v="Merchant_039"/>
    <s v="entertainment"/>
    <s v="North"/>
    <n v="2.0000000000000001E-4"/>
    <x v="13"/>
  </r>
  <r>
    <s v="TXN100207"/>
    <n v="15"/>
    <x v="9"/>
    <d v="2026-01-27T22:17:00"/>
    <n v="149"/>
    <s v="UPI"/>
    <s v="captured"/>
    <n v="34"/>
    <s v="Merchant_012"/>
    <s v="ecommerce"/>
    <s v="East"/>
    <n v="2.0000000000000001E-4"/>
    <x v="6"/>
  </r>
  <r>
    <s v="TXN100208"/>
    <n v="174"/>
    <x v="5"/>
    <d v="2026-01-23T09:58:00"/>
    <n v="149"/>
    <s v="UPI"/>
    <s v="captured"/>
    <n v="0"/>
    <s v="Merchant_023"/>
    <s v="travel"/>
    <s v="North"/>
    <n v="2.0000000000000001E-4"/>
    <x v="20"/>
  </r>
  <r>
    <s v="TXN100209"/>
    <n v="337"/>
    <x v="22"/>
    <d v="2026-01-06T04:36:00"/>
    <n v="49"/>
    <s v="UPI"/>
    <s v="captured"/>
    <n v="8"/>
    <s v="Merchant_026"/>
    <s v="food_delivery"/>
    <s v="East"/>
    <n v="2.0000000000000001E-4"/>
    <x v="4"/>
  </r>
  <r>
    <s v="TXN100210"/>
    <n v="16"/>
    <x v="18"/>
    <d v="2026-01-05T23:40:00"/>
    <n v="1499"/>
    <s v="UPI"/>
    <s v="captured"/>
    <n v="95"/>
    <s v="Merchant_006"/>
    <s v="food_delivery"/>
    <s v="South"/>
    <n v="2.0000000000000001E-4"/>
    <x v="14"/>
  </r>
  <r>
    <s v="TXN100211"/>
    <n v="215"/>
    <x v="24"/>
    <d v="2026-01-17T06:24:00"/>
    <n v="49"/>
    <s v="UPI"/>
    <s v="captured"/>
    <n v="43"/>
    <s v="Merchant_030"/>
    <s v="travel"/>
    <s v="West"/>
    <n v="2.0000000000000001E-4"/>
    <x v="18"/>
  </r>
  <r>
    <s v="TXN100212"/>
    <n v="167"/>
    <x v="21"/>
    <d v="2026-01-06T11:19:00"/>
    <n v="99"/>
    <s v="UPI"/>
    <s v="captured"/>
    <n v="76"/>
    <s v="Merchant_037"/>
    <s v="entertainment"/>
    <s v="South"/>
    <n v="2.0000000000000001E-4"/>
    <x v="4"/>
  </r>
  <r>
    <s v="TXN100213"/>
    <n v="81"/>
    <x v="12"/>
    <d v="2026-01-03T01:09:00"/>
    <n v="49"/>
    <s v="UPI"/>
    <s v="captured"/>
    <n v="6"/>
    <s v="Merchant_040"/>
    <s v="entertainment"/>
    <s v="South"/>
    <n v="2.0000000000000001E-4"/>
    <x v="29"/>
  </r>
  <r>
    <s v="TXN100214"/>
    <n v="227"/>
    <x v="10"/>
    <d v="2026-01-22T02:17:00"/>
    <n v="99"/>
    <s v="UPI"/>
    <s v="captured"/>
    <n v="62"/>
    <s v="Merchant_028"/>
    <s v="ecommerce"/>
    <s v="South"/>
    <n v="2.0000000000000001E-4"/>
    <x v="13"/>
  </r>
  <r>
    <s v="TXN100215"/>
    <n v="140"/>
    <x v="16"/>
    <d v="2026-01-20T14:26:00"/>
    <n v="299"/>
    <s v="Wallet"/>
    <s v="captured"/>
    <n v="96"/>
    <s v="Merchant_014"/>
    <s v="grocery"/>
    <s v="East"/>
    <n v="5.0000000000000001E-4"/>
    <x v="26"/>
  </r>
  <r>
    <s v="TXN100216"/>
    <n v="221"/>
    <x v="30"/>
    <d v="2026-01-17T03:22:00"/>
    <n v="299"/>
    <s v="UPI"/>
    <s v="captured"/>
    <n v="36"/>
    <s v="Merchant_008"/>
    <s v="food_delivery"/>
    <s v="North"/>
    <n v="2.0000000000000001E-4"/>
    <x v="18"/>
  </r>
  <r>
    <s v="TXN100217"/>
    <n v="250"/>
    <x v="36"/>
    <d v="2026-01-22T21:37:00"/>
    <n v="299"/>
    <s v="Wallet"/>
    <s v="captured"/>
    <n v="85"/>
    <s v="Merchant_034"/>
    <s v="travel"/>
    <s v="South"/>
    <n v="5.0000000000000001E-4"/>
    <x v="13"/>
  </r>
  <r>
    <s v="TXN100218"/>
    <n v="203"/>
    <x v="38"/>
    <d v="2026-01-10T01:14:00"/>
    <n v="49"/>
    <s v="UPI"/>
    <s v="captured"/>
    <n v="7"/>
    <s v="Merchant_039"/>
    <s v="entertainment"/>
    <s v="North"/>
    <n v="2.0000000000000001E-4"/>
    <x v="27"/>
  </r>
  <r>
    <s v="TXN100219"/>
    <n v="109"/>
    <x v="39"/>
    <d v="2026-01-01T06:19:00"/>
    <n v="499"/>
    <s v="Wallet"/>
    <s v="captured"/>
    <n v="97"/>
    <s v="Merchant_009"/>
    <s v="ecommerce"/>
    <s v="North"/>
    <n v="5.0000000000000001E-4"/>
    <x v="9"/>
  </r>
  <r>
    <s v="TXN100220"/>
    <n v="62"/>
    <x v="37"/>
    <d v="2026-01-09T09:20:00"/>
    <n v="4999"/>
    <s v="Wallet"/>
    <s v="captured"/>
    <n v="63"/>
    <s v="Merchant_001"/>
    <s v="ecommerce"/>
    <s v="South"/>
    <n v="5.0000000000000001E-4"/>
    <x v="10"/>
  </r>
  <r>
    <s v="TXN100221"/>
    <n v="67"/>
    <x v="14"/>
    <d v="2026-01-24T13:11:00"/>
    <n v="49"/>
    <s v="UPI"/>
    <s v="captured"/>
    <n v="68"/>
    <s v="Merchant_025"/>
    <s v="travel"/>
    <s v="South"/>
    <n v="2.0000000000000001E-4"/>
    <x v="2"/>
  </r>
  <r>
    <s v="TXN100222"/>
    <n v="287"/>
    <x v="5"/>
    <d v="2026-01-23T07:32:00"/>
    <n v="49"/>
    <s v="UPI"/>
    <s v="captured"/>
    <n v="9"/>
    <s v="Merchant_023"/>
    <s v="travel"/>
    <s v="North"/>
    <n v="2.0000000000000001E-4"/>
    <x v="20"/>
  </r>
  <r>
    <s v="TXN100223"/>
    <n v="224"/>
    <x v="27"/>
    <d v="2026-01-13T23:02:00"/>
    <n v="49"/>
    <s v="Card"/>
    <s v="captured"/>
    <n v="58"/>
    <s v="Merchant_002"/>
    <s v="grocery"/>
    <s v="West"/>
    <n v="1.4999999999999999E-2"/>
    <x v="11"/>
  </r>
  <r>
    <s v="TXN100224"/>
    <n v="161"/>
    <x v="21"/>
    <d v="2026-01-30T02:55:00"/>
    <n v="299"/>
    <s v="UPI"/>
    <s v="captured"/>
    <n v="54"/>
    <s v="Merchant_037"/>
    <s v="entertainment"/>
    <s v="South"/>
    <n v="2.0000000000000001E-4"/>
    <x v="3"/>
  </r>
  <r>
    <s v="TXN100225"/>
    <n v="328"/>
    <x v="1"/>
    <d v="2026-01-19T12:45:00"/>
    <n v="49"/>
    <s v="UPI"/>
    <s v="chargeback"/>
    <n v="37"/>
    <s v="Merchant_027"/>
    <s v="ecommerce"/>
    <s v="North"/>
    <n v="2.0000000000000001E-4"/>
    <x v="23"/>
  </r>
  <r>
    <s v="TXN100226"/>
    <n v="167"/>
    <x v="2"/>
    <d v="2026-01-04T12:01:00"/>
    <n v="1499"/>
    <s v="Card"/>
    <s v="failed"/>
    <n v="79"/>
    <s v="Merchant_011"/>
    <s v="ecommerce"/>
    <s v="North"/>
    <n v="1.4999999999999999E-2"/>
    <x v="1"/>
  </r>
  <r>
    <s v="TXN100227"/>
    <n v="186"/>
    <x v="18"/>
    <d v="2026-01-15T22:58:00"/>
    <n v="49"/>
    <s v="Wallet"/>
    <s v="captured"/>
    <n v="55"/>
    <s v="Merchant_006"/>
    <s v="food_delivery"/>
    <s v="South"/>
    <n v="5.0000000000000001E-4"/>
    <x v="17"/>
  </r>
  <r>
    <s v="TXN100228"/>
    <n v="224"/>
    <x v="35"/>
    <d v="2026-01-28T03:15:00"/>
    <n v="299"/>
    <s v="Wallet"/>
    <s v="failed"/>
    <n v="51"/>
    <s v="Merchant_038"/>
    <s v="grocery"/>
    <s v="East"/>
    <n v="5.0000000000000001E-4"/>
    <x v="19"/>
  </r>
  <r>
    <s v="TXN100229"/>
    <n v="159"/>
    <x v="3"/>
    <d v="2026-01-17T02:25:00"/>
    <n v="799"/>
    <s v="UPI"/>
    <s v="captured"/>
    <n v="28"/>
    <s v="Merchant_022"/>
    <s v="travel"/>
    <s v="South"/>
    <n v="2.0000000000000001E-4"/>
    <x v="18"/>
  </r>
  <r>
    <s v="TXN100230"/>
    <n v="262"/>
    <x v="30"/>
    <d v="2026-01-11T05:04:00"/>
    <n v="149"/>
    <s v="UPI"/>
    <s v="captured"/>
    <n v="67"/>
    <s v="Merchant_008"/>
    <s v="food_delivery"/>
    <s v="North"/>
    <n v="2.0000000000000001E-4"/>
    <x v="7"/>
  </r>
  <r>
    <s v="TXN100231"/>
    <n v="179"/>
    <x v="5"/>
    <d v="2026-01-17T06:57:00"/>
    <n v="49"/>
    <s v="Wallet"/>
    <s v="captured"/>
    <n v="93"/>
    <s v="Merchant_023"/>
    <s v="travel"/>
    <s v="North"/>
    <n v="5.0000000000000001E-4"/>
    <x v="18"/>
  </r>
  <r>
    <s v="TXN100232"/>
    <n v="76"/>
    <x v="0"/>
    <d v="2026-01-27T20:52:00"/>
    <n v="299"/>
    <s v="UPI"/>
    <s v="captured"/>
    <n v="13"/>
    <s v="Merchant_016"/>
    <s v="bill_payment"/>
    <s v="West"/>
    <n v="2.0000000000000001E-4"/>
    <x v="6"/>
  </r>
  <r>
    <s v="TXN100233"/>
    <n v="89"/>
    <x v="38"/>
    <d v="2026-01-05T08:12:00"/>
    <n v="299"/>
    <s v="UPI"/>
    <s v="captured"/>
    <n v="19"/>
    <s v="Merchant_039"/>
    <s v="entertainment"/>
    <s v="North"/>
    <n v="2.0000000000000001E-4"/>
    <x v="14"/>
  </r>
  <r>
    <s v="TXN100234"/>
    <n v="91"/>
    <x v="33"/>
    <d v="2026-01-25T20:04:00"/>
    <n v="49"/>
    <s v="UPI"/>
    <s v="captured"/>
    <n v="59"/>
    <s v="Merchant_032"/>
    <s v="food_delivery"/>
    <s v="West"/>
    <n v="2.0000000000000001E-4"/>
    <x v="21"/>
  </r>
  <r>
    <s v="TXN100235"/>
    <n v="297"/>
    <x v="26"/>
    <d v="2026-01-25T18:48:00"/>
    <n v="99"/>
    <s v="Card"/>
    <s v="chargeback"/>
    <n v="87"/>
    <s v="Merchant_029"/>
    <s v="ecommerce"/>
    <s v="North"/>
    <n v="1.4999999999999999E-2"/>
    <x v="21"/>
  </r>
  <r>
    <s v="TXN100236"/>
    <n v="326"/>
    <x v="12"/>
    <d v="2026-01-30T18:41:00"/>
    <n v="499"/>
    <s v="Card"/>
    <s v="captured"/>
    <n v="41"/>
    <s v="Merchant_040"/>
    <s v="entertainment"/>
    <s v="South"/>
    <n v="1.4999999999999999E-2"/>
    <x v="3"/>
  </r>
  <r>
    <s v="TXN100237"/>
    <n v="78"/>
    <x v="26"/>
    <d v="2026-01-28T20:20:00"/>
    <n v="149"/>
    <s v="UPI"/>
    <s v="captured"/>
    <n v="8"/>
    <s v="Merchant_029"/>
    <s v="ecommerce"/>
    <s v="North"/>
    <n v="2.0000000000000001E-4"/>
    <x v="19"/>
  </r>
  <r>
    <s v="TXN100238"/>
    <n v="156"/>
    <x v="7"/>
    <d v="2026-01-16T14:40:00"/>
    <n v="2999"/>
    <s v="Card"/>
    <s v="captured"/>
    <n v="75"/>
    <s v="Merchant_018"/>
    <s v="grocery"/>
    <s v="West"/>
    <n v="1.4999999999999999E-2"/>
    <x v="24"/>
  </r>
  <r>
    <s v="TXN100239"/>
    <n v="38"/>
    <x v="15"/>
    <d v="2026-01-02T11:32:00"/>
    <n v="49"/>
    <s v="Wallet"/>
    <s v="failed"/>
    <n v="59"/>
    <s v="Merchant_020"/>
    <s v="food_delivery"/>
    <s v="East"/>
    <n v="5.0000000000000001E-4"/>
    <x v="22"/>
  </r>
  <r>
    <s v="TXN100240"/>
    <n v="189"/>
    <x v="13"/>
    <d v="2026-01-15T01:03:00"/>
    <n v="99"/>
    <s v="UPI"/>
    <s v="failed"/>
    <n v="9"/>
    <s v="Merchant_019"/>
    <s v="grocery"/>
    <s v="North"/>
    <n v="2.0000000000000001E-4"/>
    <x v="17"/>
  </r>
  <r>
    <s v="TXN100241"/>
    <n v="305"/>
    <x v="11"/>
    <d v="2026-01-21T02:39:00"/>
    <n v="299"/>
    <s v="Card"/>
    <s v="captured"/>
    <n v="49"/>
    <s v="Merchant_033"/>
    <s v="bill_payment"/>
    <s v="East"/>
    <n v="1.4999999999999999E-2"/>
    <x v="8"/>
  </r>
  <r>
    <s v="TXN100242"/>
    <n v="22"/>
    <x v="26"/>
    <d v="2026-01-15T18:35:00"/>
    <n v="799"/>
    <s v="UPI"/>
    <s v="captured"/>
    <n v="73"/>
    <s v="Merchant_029"/>
    <s v="ecommerce"/>
    <s v="North"/>
    <n v="2.0000000000000001E-4"/>
    <x v="17"/>
  </r>
  <r>
    <s v="TXN100243"/>
    <n v="310"/>
    <x v="20"/>
    <d v="2026-01-21T06:20:00"/>
    <n v="49"/>
    <s v="Card"/>
    <s v="captured"/>
    <n v="64"/>
    <s v="Merchant_031"/>
    <s v="bill_payment"/>
    <s v="East"/>
    <n v="1.4999999999999999E-2"/>
    <x v="8"/>
  </r>
  <r>
    <s v="TXN100244"/>
    <n v="53"/>
    <x v="3"/>
    <d v="2026-01-05T01:28:00"/>
    <n v="299"/>
    <s v="UPI"/>
    <s v="captured"/>
    <n v="91"/>
    <s v="Merchant_022"/>
    <s v="travel"/>
    <s v="South"/>
    <n v="2.0000000000000001E-4"/>
    <x v="14"/>
  </r>
  <r>
    <s v="TXN100245"/>
    <n v="89"/>
    <x v="4"/>
    <d v="2026-01-03T16:41:00"/>
    <n v="149"/>
    <s v="Card"/>
    <s v="captured"/>
    <n v="31"/>
    <s v="Merchant_003"/>
    <s v="grocery"/>
    <s v="East"/>
    <n v="1.4999999999999999E-2"/>
    <x v="29"/>
  </r>
  <r>
    <s v="TXN100246"/>
    <n v="269"/>
    <x v="36"/>
    <d v="2026-01-23T14:28:00"/>
    <n v="149"/>
    <s v="UPI"/>
    <s v="captured"/>
    <n v="78"/>
    <s v="Merchant_034"/>
    <s v="travel"/>
    <s v="South"/>
    <n v="2.0000000000000001E-4"/>
    <x v="20"/>
  </r>
  <r>
    <s v="TXN100247"/>
    <n v="145"/>
    <x v="14"/>
    <d v="2026-01-06T11:23:00"/>
    <n v="799"/>
    <s v="UPI"/>
    <s v="captured"/>
    <n v="52"/>
    <s v="Merchant_025"/>
    <s v="travel"/>
    <s v="South"/>
    <n v="2.0000000000000001E-4"/>
    <x v="4"/>
  </r>
  <r>
    <s v="TXN100248"/>
    <n v="307"/>
    <x v="29"/>
    <d v="2026-01-25T10:43:00"/>
    <n v="1499"/>
    <s v="UPI"/>
    <s v="captured"/>
    <n v="80"/>
    <s v="Merchant_004"/>
    <s v="ecommerce"/>
    <s v="East"/>
    <n v="2.0000000000000001E-4"/>
    <x v="21"/>
  </r>
  <r>
    <s v="TXN100249"/>
    <n v="169"/>
    <x v="23"/>
    <d v="2026-01-21T10:04:00"/>
    <n v="1499"/>
    <s v="Wallet"/>
    <s v="captured"/>
    <n v="71"/>
    <s v="Merchant_007"/>
    <s v="food_delivery"/>
    <s v="East"/>
    <n v="5.0000000000000001E-4"/>
    <x v="8"/>
  </r>
  <r>
    <s v="TXN100250"/>
    <n v="130"/>
    <x v="38"/>
    <d v="2026-01-22T12:18:00"/>
    <n v="2999"/>
    <s v="Wallet"/>
    <s v="captured"/>
    <n v="19"/>
    <s v="Merchant_039"/>
    <s v="entertainment"/>
    <s v="North"/>
    <n v="5.0000000000000001E-4"/>
    <x v="13"/>
  </r>
  <r>
    <s v="TXN100251"/>
    <n v="340"/>
    <x v="34"/>
    <d v="2026-01-11T02:37:00"/>
    <n v="49"/>
    <s v="Card"/>
    <s v="captured"/>
    <n v="44"/>
    <s v="Merchant_010"/>
    <s v="grocery"/>
    <s v="West"/>
    <n v="1.4999999999999999E-2"/>
    <x v="7"/>
  </r>
  <r>
    <s v="TXN100252"/>
    <n v="340"/>
    <x v="22"/>
    <d v="2026-01-10T20:44:00"/>
    <n v="299"/>
    <s v="Card"/>
    <s v="captured"/>
    <n v="16"/>
    <s v="Merchant_026"/>
    <s v="food_delivery"/>
    <s v="East"/>
    <n v="1.4999999999999999E-2"/>
    <x v="27"/>
  </r>
  <r>
    <s v="TXN100253"/>
    <n v="159"/>
    <x v="25"/>
    <d v="2026-01-20T22:05:00"/>
    <n v="49"/>
    <s v="UPI"/>
    <s v="captured"/>
    <n v="48"/>
    <s v="Merchant_036"/>
    <s v="entertainment"/>
    <s v="East"/>
    <n v="2.0000000000000001E-4"/>
    <x v="26"/>
  </r>
  <r>
    <s v="TXN100254"/>
    <n v="66"/>
    <x v="36"/>
    <d v="2026-01-21T10:52:00"/>
    <n v="799"/>
    <s v="UPI"/>
    <s v="captured"/>
    <n v="11"/>
    <s v="Merchant_034"/>
    <s v="travel"/>
    <s v="South"/>
    <n v="2.0000000000000001E-4"/>
    <x v="8"/>
  </r>
  <r>
    <s v="TXN100255"/>
    <n v="261"/>
    <x v="31"/>
    <d v="2026-01-21T21:27:00"/>
    <n v="799"/>
    <s v="Card"/>
    <s v="captured"/>
    <n v="2"/>
    <s v="Merchant_024"/>
    <s v="grocery"/>
    <s v="North"/>
    <n v="1.4999999999999999E-2"/>
    <x v="8"/>
  </r>
  <r>
    <s v="TXN100256"/>
    <n v="110"/>
    <x v="3"/>
    <d v="2026-01-12T09:11:00"/>
    <n v="799"/>
    <s v="UPI"/>
    <s v="captured"/>
    <n v="98"/>
    <s v="Merchant_022"/>
    <s v="travel"/>
    <s v="South"/>
    <n v="2.0000000000000001E-4"/>
    <x v="28"/>
  </r>
  <r>
    <s v="TXN100257"/>
    <n v="71"/>
    <x v="34"/>
    <d v="2026-01-16T06:14:00"/>
    <n v="49"/>
    <s v="UPI"/>
    <s v="captured"/>
    <n v="9"/>
    <s v="Merchant_010"/>
    <s v="grocery"/>
    <s v="West"/>
    <n v="2.0000000000000001E-4"/>
    <x v="24"/>
  </r>
  <r>
    <s v="TXN100258"/>
    <n v="277"/>
    <x v="36"/>
    <d v="2026-01-10T03:32:00"/>
    <n v="49"/>
    <s v="UPI"/>
    <s v="captured"/>
    <n v="4"/>
    <s v="Merchant_034"/>
    <s v="travel"/>
    <s v="South"/>
    <n v="2.0000000000000001E-4"/>
    <x v="27"/>
  </r>
  <r>
    <s v="TXN100259"/>
    <n v="317"/>
    <x v="39"/>
    <d v="2026-01-22T10:56:00"/>
    <n v="499"/>
    <s v="Wallet"/>
    <s v="captured"/>
    <n v="76"/>
    <s v="Merchant_009"/>
    <s v="ecommerce"/>
    <s v="North"/>
    <n v="5.0000000000000001E-4"/>
    <x v="13"/>
  </r>
  <r>
    <s v="TXN100260"/>
    <n v="93"/>
    <x v="12"/>
    <d v="2026-01-13T04:10:00"/>
    <n v="299"/>
    <s v="UPI"/>
    <s v="captured"/>
    <n v="21"/>
    <s v="Merchant_040"/>
    <s v="entertainment"/>
    <s v="South"/>
    <n v="2.0000000000000001E-4"/>
    <x v="11"/>
  </r>
  <r>
    <s v="TXN100261"/>
    <n v="211"/>
    <x v="31"/>
    <d v="2026-01-24T14:02:00"/>
    <n v="99"/>
    <s v="Netbanking"/>
    <s v="captured"/>
    <n v="86"/>
    <s v="Merchant_024"/>
    <s v="grocery"/>
    <s v="North"/>
    <n v="0.01"/>
    <x v="2"/>
  </r>
  <r>
    <s v="TXN100262"/>
    <n v="313"/>
    <x v="13"/>
    <d v="2026-01-24T07:28:00"/>
    <n v="149"/>
    <s v="UPI"/>
    <s v="captured"/>
    <n v="96"/>
    <s v="Merchant_019"/>
    <s v="grocery"/>
    <s v="North"/>
    <n v="2.0000000000000001E-4"/>
    <x v="2"/>
  </r>
  <r>
    <s v="TXN100263"/>
    <n v="274"/>
    <x v="0"/>
    <d v="2026-01-24T14:14:00"/>
    <n v="49"/>
    <s v="Wallet"/>
    <s v="failed"/>
    <n v="39"/>
    <s v="Merchant_016"/>
    <s v="bill_payment"/>
    <s v="West"/>
    <n v="5.0000000000000001E-4"/>
    <x v="2"/>
  </r>
  <r>
    <s v="TXN100264"/>
    <n v="100"/>
    <x v="31"/>
    <d v="2026-01-26T15:57:00"/>
    <n v="299"/>
    <s v="UPI"/>
    <s v="captured"/>
    <n v="86"/>
    <s v="Merchant_024"/>
    <s v="grocery"/>
    <s v="North"/>
    <n v="2.0000000000000001E-4"/>
    <x v="16"/>
  </r>
  <r>
    <s v="TXN100265"/>
    <n v="145"/>
    <x v="14"/>
    <d v="2026-01-19T14:29:00"/>
    <n v="2999"/>
    <s v="Wallet"/>
    <s v="captured"/>
    <n v="64"/>
    <s v="Merchant_025"/>
    <s v="travel"/>
    <s v="South"/>
    <n v="5.0000000000000001E-4"/>
    <x v="23"/>
  </r>
  <r>
    <s v="TXN100266"/>
    <n v="103"/>
    <x v="38"/>
    <d v="2026-01-17T13:10:00"/>
    <n v="2999"/>
    <s v="Wallet"/>
    <s v="captured"/>
    <n v="17"/>
    <s v="Merchant_039"/>
    <s v="entertainment"/>
    <s v="North"/>
    <n v="5.0000000000000001E-4"/>
    <x v="18"/>
  </r>
  <r>
    <s v="TXN100267"/>
    <n v="329"/>
    <x v="20"/>
    <d v="2026-01-28T08:03:00"/>
    <n v="299"/>
    <s v="Wallet"/>
    <s v="captured"/>
    <n v="47"/>
    <s v="Merchant_031"/>
    <s v="bill_payment"/>
    <s v="East"/>
    <n v="5.0000000000000001E-4"/>
    <x v="19"/>
  </r>
  <r>
    <s v="TXN100268"/>
    <n v="265"/>
    <x v="30"/>
    <d v="2026-01-18T03:45:00"/>
    <n v="499"/>
    <s v="Netbanking"/>
    <s v="captured"/>
    <n v="36"/>
    <s v="Merchant_008"/>
    <s v="food_delivery"/>
    <s v="North"/>
    <n v="0.01"/>
    <x v="15"/>
  </r>
  <r>
    <s v="TXN100269"/>
    <n v="231"/>
    <x v="11"/>
    <d v="2026-01-03T05:17:00"/>
    <n v="149"/>
    <s v="UPI"/>
    <s v="failed"/>
    <n v="18"/>
    <s v="Merchant_033"/>
    <s v="bill_payment"/>
    <s v="East"/>
    <n v="2.0000000000000001E-4"/>
    <x v="29"/>
  </r>
  <r>
    <s v="TXN100270"/>
    <n v="114"/>
    <x v="26"/>
    <d v="2026-01-27T13:05:00"/>
    <n v="799"/>
    <s v="UPI"/>
    <s v="chargeback"/>
    <n v="44"/>
    <s v="Merchant_029"/>
    <s v="ecommerce"/>
    <s v="North"/>
    <n v="2.0000000000000001E-4"/>
    <x v="6"/>
  </r>
  <r>
    <s v="TXN100271"/>
    <n v="28"/>
    <x v="22"/>
    <d v="2026-01-30T00:26:00"/>
    <n v="1499"/>
    <s v="UPI"/>
    <s v="failed"/>
    <n v="64"/>
    <s v="Merchant_026"/>
    <s v="food_delivery"/>
    <s v="East"/>
    <n v="2.0000000000000001E-4"/>
    <x v="3"/>
  </r>
  <r>
    <s v="TXN100272"/>
    <n v="42"/>
    <x v="31"/>
    <d v="2026-01-12T07:24:00"/>
    <n v="149"/>
    <s v="UPI"/>
    <s v="captured"/>
    <n v="28"/>
    <s v="Merchant_024"/>
    <s v="grocery"/>
    <s v="North"/>
    <n v="2.0000000000000001E-4"/>
    <x v="28"/>
  </r>
  <r>
    <s v="TXN100273"/>
    <n v="51"/>
    <x v="3"/>
    <d v="2026-01-01T10:59:00"/>
    <n v="799"/>
    <s v="UPI"/>
    <s v="captured"/>
    <n v="18"/>
    <s v="Merchant_022"/>
    <s v="travel"/>
    <s v="South"/>
    <n v="2.0000000000000001E-4"/>
    <x v="9"/>
  </r>
  <r>
    <s v="TXN100274"/>
    <n v="242"/>
    <x v="39"/>
    <d v="2026-01-05T01:18:00"/>
    <n v="149"/>
    <s v="UPI"/>
    <s v="captured"/>
    <n v="97"/>
    <s v="Merchant_009"/>
    <s v="ecommerce"/>
    <s v="North"/>
    <n v="2.0000000000000001E-4"/>
    <x v="14"/>
  </r>
  <r>
    <s v="TXN100275"/>
    <n v="316"/>
    <x v="37"/>
    <d v="2026-01-23T15:28:00"/>
    <n v="149"/>
    <s v="UPI"/>
    <s v="captured"/>
    <n v="10"/>
    <s v="Merchant_001"/>
    <s v="ecommerce"/>
    <s v="South"/>
    <n v="2.0000000000000001E-4"/>
    <x v="20"/>
  </r>
  <r>
    <s v="TXN100276"/>
    <n v="77"/>
    <x v="25"/>
    <d v="2026-01-01T08:13:00"/>
    <n v="149"/>
    <s v="UPI"/>
    <s v="captured"/>
    <n v="93"/>
    <s v="Merchant_036"/>
    <s v="entertainment"/>
    <s v="East"/>
    <n v="2.0000000000000001E-4"/>
    <x v="9"/>
  </r>
  <r>
    <s v="TXN100277"/>
    <n v="57"/>
    <x v="13"/>
    <d v="2026-01-20T16:27:00"/>
    <n v="49"/>
    <s v="UPI"/>
    <s v="captured"/>
    <n v="30"/>
    <s v="Merchant_019"/>
    <s v="grocery"/>
    <s v="North"/>
    <n v="2.0000000000000001E-4"/>
    <x v="26"/>
  </r>
  <r>
    <s v="TXN100278"/>
    <n v="123"/>
    <x v="1"/>
    <d v="2026-01-10T03:03:00"/>
    <n v="149"/>
    <s v="Netbanking"/>
    <s v="captured"/>
    <n v="81"/>
    <s v="Merchant_027"/>
    <s v="ecommerce"/>
    <s v="North"/>
    <n v="0.01"/>
    <x v="27"/>
  </r>
  <r>
    <s v="TXN100279"/>
    <n v="33"/>
    <x v="30"/>
    <d v="2026-01-26T19:29:00"/>
    <n v="299"/>
    <s v="Wallet"/>
    <s v="captured"/>
    <n v="63"/>
    <s v="Merchant_008"/>
    <s v="food_delivery"/>
    <s v="North"/>
    <n v="5.0000000000000001E-4"/>
    <x v="16"/>
  </r>
  <r>
    <s v="TXN100280"/>
    <n v="324"/>
    <x v="11"/>
    <d v="2026-01-20T17:01:00"/>
    <n v="499"/>
    <s v="UPI"/>
    <s v="captured"/>
    <n v="73"/>
    <s v="Merchant_033"/>
    <s v="bill_payment"/>
    <s v="East"/>
    <n v="2.0000000000000001E-4"/>
    <x v="26"/>
  </r>
  <r>
    <s v="TXN100281"/>
    <n v="150"/>
    <x v="10"/>
    <d v="2026-01-08T22:09:00"/>
    <n v="49"/>
    <s v="UPI"/>
    <s v="failed"/>
    <n v="0"/>
    <s v="Merchant_028"/>
    <s v="ecommerce"/>
    <s v="South"/>
    <n v="2.0000000000000001E-4"/>
    <x v="5"/>
  </r>
  <r>
    <s v="TXN100282"/>
    <n v="293"/>
    <x v="1"/>
    <d v="2026-01-20T11:15:00"/>
    <n v="4999"/>
    <s v="UPI"/>
    <s v="captured"/>
    <n v="23"/>
    <s v="Merchant_027"/>
    <s v="ecommerce"/>
    <s v="North"/>
    <n v="2.0000000000000001E-4"/>
    <x v="26"/>
  </r>
  <r>
    <s v="TXN100283"/>
    <n v="269"/>
    <x v="31"/>
    <d v="2026-01-22T21:05:00"/>
    <n v="49"/>
    <s v="Wallet"/>
    <s v="captured"/>
    <n v="8"/>
    <s v="Merchant_024"/>
    <s v="grocery"/>
    <s v="North"/>
    <n v="5.0000000000000001E-4"/>
    <x v="13"/>
  </r>
  <r>
    <s v="TXN100284"/>
    <n v="260"/>
    <x v="25"/>
    <d v="2026-01-17T17:32:00"/>
    <n v="1499"/>
    <s v="UPI"/>
    <s v="captured"/>
    <n v="2"/>
    <s v="Merchant_036"/>
    <s v="entertainment"/>
    <s v="East"/>
    <n v="2.0000000000000001E-4"/>
    <x v="18"/>
  </r>
  <r>
    <s v="TXN100285"/>
    <n v="326"/>
    <x v="14"/>
    <d v="2026-01-13T15:02:00"/>
    <n v="49"/>
    <s v="UPI"/>
    <s v="captured"/>
    <n v="47"/>
    <s v="Merchant_025"/>
    <s v="travel"/>
    <s v="South"/>
    <n v="2.0000000000000001E-4"/>
    <x v="11"/>
  </r>
  <r>
    <s v="TXN100286"/>
    <n v="183"/>
    <x v="32"/>
    <d v="2026-01-09T23:01:00"/>
    <n v="49"/>
    <s v="Card"/>
    <s v="captured"/>
    <n v="44"/>
    <s v="Merchant_005"/>
    <s v="recharge"/>
    <s v="South"/>
    <n v="1.4999999999999999E-2"/>
    <x v="10"/>
  </r>
  <r>
    <s v="TXN100287"/>
    <n v="322"/>
    <x v="23"/>
    <d v="2026-01-08T23:42:00"/>
    <n v="299"/>
    <s v="UPI"/>
    <s v="captured"/>
    <n v="98"/>
    <s v="Merchant_007"/>
    <s v="food_delivery"/>
    <s v="East"/>
    <n v="2.0000000000000001E-4"/>
    <x v="5"/>
  </r>
  <r>
    <s v="TXN100288"/>
    <n v="171"/>
    <x v="39"/>
    <d v="2026-01-19T23:48:00"/>
    <n v="299"/>
    <s v="UPI"/>
    <s v="captured"/>
    <n v="5"/>
    <s v="Merchant_009"/>
    <s v="ecommerce"/>
    <s v="North"/>
    <n v="2.0000000000000001E-4"/>
    <x v="23"/>
  </r>
  <r>
    <s v="TXN100289"/>
    <n v="330"/>
    <x v="9"/>
    <d v="2026-01-12T17:21:00"/>
    <n v="1499"/>
    <s v="Netbanking"/>
    <s v="captured"/>
    <n v="99"/>
    <s v="Merchant_012"/>
    <s v="ecommerce"/>
    <s v="East"/>
    <n v="0.01"/>
    <x v="28"/>
  </r>
  <r>
    <s v="TXN100290"/>
    <n v="246"/>
    <x v="9"/>
    <d v="2026-01-22T14:44:00"/>
    <n v="99"/>
    <s v="Wallet"/>
    <s v="captured"/>
    <n v="17"/>
    <s v="Merchant_012"/>
    <s v="ecommerce"/>
    <s v="East"/>
    <n v="5.0000000000000001E-4"/>
    <x v="13"/>
  </r>
  <r>
    <s v="TXN100291"/>
    <n v="235"/>
    <x v="4"/>
    <d v="2026-01-03T22:49:00"/>
    <n v="49"/>
    <s v="UPI"/>
    <s v="captured"/>
    <n v="37"/>
    <s v="Merchant_003"/>
    <s v="grocery"/>
    <s v="East"/>
    <n v="2.0000000000000001E-4"/>
    <x v="29"/>
  </r>
  <r>
    <s v="TXN100292"/>
    <n v="103"/>
    <x v="4"/>
    <d v="2026-01-07T01:50:00"/>
    <n v="499"/>
    <s v="UPI"/>
    <s v="captured"/>
    <n v="40"/>
    <s v="Merchant_003"/>
    <s v="grocery"/>
    <s v="East"/>
    <n v="2.0000000000000001E-4"/>
    <x v="25"/>
  </r>
  <r>
    <s v="TXN100293"/>
    <n v="204"/>
    <x v="8"/>
    <d v="2026-01-30T09:32:00"/>
    <n v="99"/>
    <s v="Wallet"/>
    <s v="captured"/>
    <n v="60"/>
    <s v="Merchant_035"/>
    <s v="recharge"/>
    <s v="East"/>
    <n v="5.0000000000000001E-4"/>
    <x v="3"/>
  </r>
  <r>
    <s v="TXN100294"/>
    <n v="332"/>
    <x v="6"/>
    <d v="2026-01-09T01:48:00"/>
    <n v="49"/>
    <s v="Card"/>
    <s v="captured"/>
    <n v="36"/>
    <s v="Merchant_013"/>
    <s v="travel"/>
    <s v="East"/>
    <n v="1.4999999999999999E-2"/>
    <x v="10"/>
  </r>
  <r>
    <s v="TXN100295"/>
    <n v="336"/>
    <x v="3"/>
    <d v="2026-01-12T01:55:00"/>
    <n v="499"/>
    <s v="UPI"/>
    <s v="captured"/>
    <n v="34"/>
    <s v="Merchant_022"/>
    <s v="travel"/>
    <s v="South"/>
    <n v="2.0000000000000001E-4"/>
    <x v="28"/>
  </r>
  <r>
    <s v="TXN100296"/>
    <n v="205"/>
    <x v="26"/>
    <d v="2026-01-04T11:27:00"/>
    <n v="99"/>
    <s v="Wallet"/>
    <s v="captured"/>
    <n v="49"/>
    <s v="Merchant_029"/>
    <s v="ecommerce"/>
    <s v="North"/>
    <n v="5.0000000000000001E-4"/>
    <x v="1"/>
  </r>
  <r>
    <s v="TXN100297"/>
    <n v="255"/>
    <x v="31"/>
    <d v="2026-01-11T05:31:00"/>
    <n v="799"/>
    <s v="UPI"/>
    <s v="captured"/>
    <n v="66"/>
    <s v="Merchant_024"/>
    <s v="grocery"/>
    <s v="North"/>
    <n v="2.0000000000000001E-4"/>
    <x v="7"/>
  </r>
  <r>
    <s v="TXN100298"/>
    <n v="218"/>
    <x v="18"/>
    <d v="2026-01-09T02:46:00"/>
    <n v="99"/>
    <s v="UPI"/>
    <s v="captured"/>
    <n v="55"/>
    <s v="Merchant_006"/>
    <s v="food_delivery"/>
    <s v="South"/>
    <n v="2.0000000000000001E-4"/>
    <x v="10"/>
  </r>
  <r>
    <s v="TXN100299"/>
    <n v="151"/>
    <x v="17"/>
    <d v="2026-01-20T05:34:00"/>
    <n v="49"/>
    <s v="UPI"/>
    <s v="captured"/>
    <n v="13"/>
    <s v="Merchant_021"/>
    <s v="food_delivery"/>
    <s v="East"/>
    <n v="2.0000000000000001E-4"/>
    <x v="26"/>
  </r>
  <r>
    <s v="TXN100300"/>
    <n v="152"/>
    <x v="15"/>
    <d v="2026-01-03T10:42:00"/>
    <n v="49"/>
    <s v="UPI"/>
    <s v="captured"/>
    <n v="57"/>
    <s v="Merchant_020"/>
    <s v="food_delivery"/>
    <s v="East"/>
    <n v="2.0000000000000001E-4"/>
    <x v="29"/>
  </r>
  <r>
    <s v="TXN100301"/>
    <n v="86"/>
    <x v="26"/>
    <d v="2026-01-20T22:27:00"/>
    <n v="149"/>
    <s v="Card"/>
    <s v="captured"/>
    <n v="44"/>
    <s v="Merchant_029"/>
    <s v="ecommerce"/>
    <s v="North"/>
    <n v="1.4999999999999999E-2"/>
    <x v="26"/>
  </r>
  <r>
    <s v="TXN100302"/>
    <n v="181"/>
    <x v="12"/>
    <d v="2026-01-15T01:46:00"/>
    <n v="149"/>
    <s v="UPI"/>
    <s v="captured"/>
    <n v="55"/>
    <s v="Merchant_040"/>
    <s v="entertainment"/>
    <s v="South"/>
    <n v="2.0000000000000001E-4"/>
    <x v="17"/>
  </r>
  <r>
    <s v="TXN100303"/>
    <n v="30"/>
    <x v="32"/>
    <d v="2026-01-09T20:50:00"/>
    <n v="299"/>
    <s v="UPI"/>
    <s v="captured"/>
    <n v="85"/>
    <s v="Merchant_005"/>
    <s v="recharge"/>
    <s v="South"/>
    <n v="2.0000000000000001E-4"/>
    <x v="10"/>
  </r>
  <r>
    <s v="TXN100304"/>
    <n v="263"/>
    <x v="2"/>
    <d v="2026-01-21T12:23:00"/>
    <n v="149"/>
    <s v="Wallet"/>
    <s v="captured"/>
    <n v="3"/>
    <s v="Merchant_011"/>
    <s v="ecommerce"/>
    <s v="North"/>
    <n v="5.0000000000000001E-4"/>
    <x v="8"/>
  </r>
  <r>
    <s v="TXN100305"/>
    <n v="225"/>
    <x v="4"/>
    <d v="2026-01-05T19:43:00"/>
    <n v="99"/>
    <s v="Netbanking"/>
    <s v="captured"/>
    <n v="16"/>
    <s v="Merchant_003"/>
    <s v="grocery"/>
    <s v="East"/>
    <n v="0.01"/>
    <x v="14"/>
  </r>
  <r>
    <s v="TXN100306"/>
    <n v="331"/>
    <x v="31"/>
    <d v="2026-01-03T07:49:00"/>
    <n v="49"/>
    <s v="Card"/>
    <s v="captured"/>
    <n v="46"/>
    <s v="Merchant_024"/>
    <s v="grocery"/>
    <s v="North"/>
    <n v="1.4999999999999999E-2"/>
    <x v="29"/>
  </r>
  <r>
    <s v="TXN100307"/>
    <n v="310"/>
    <x v="34"/>
    <d v="2026-01-13T18:02:00"/>
    <n v="1499"/>
    <s v="Card"/>
    <s v="captured"/>
    <n v="86"/>
    <s v="Merchant_010"/>
    <s v="grocery"/>
    <s v="West"/>
    <n v="1.4999999999999999E-2"/>
    <x v="11"/>
  </r>
  <r>
    <s v="TXN100308"/>
    <n v="228"/>
    <x v="32"/>
    <d v="2026-01-15T11:23:00"/>
    <n v="49"/>
    <s v="UPI"/>
    <s v="captured"/>
    <n v="73"/>
    <s v="Merchant_005"/>
    <s v="recharge"/>
    <s v="South"/>
    <n v="2.0000000000000001E-4"/>
    <x v="17"/>
  </r>
  <r>
    <s v="TXN100309"/>
    <n v="204"/>
    <x v="17"/>
    <d v="2026-01-05T16:23:00"/>
    <n v="499"/>
    <s v="UPI"/>
    <s v="captured"/>
    <n v="83"/>
    <s v="Merchant_021"/>
    <s v="food_delivery"/>
    <s v="East"/>
    <n v="2.0000000000000001E-4"/>
    <x v="14"/>
  </r>
  <r>
    <s v="TXN100310"/>
    <n v="14"/>
    <x v="9"/>
    <d v="2026-01-09T07:07:00"/>
    <n v="799"/>
    <s v="Netbanking"/>
    <s v="captured"/>
    <n v="63"/>
    <s v="Merchant_012"/>
    <s v="ecommerce"/>
    <s v="East"/>
    <n v="0.01"/>
    <x v="10"/>
  </r>
  <r>
    <s v="TXN100311"/>
    <n v="288"/>
    <x v="30"/>
    <d v="2026-01-17T12:58:00"/>
    <n v="49"/>
    <s v="UPI"/>
    <s v="captured"/>
    <n v="33"/>
    <s v="Merchant_008"/>
    <s v="food_delivery"/>
    <s v="North"/>
    <n v="2.0000000000000001E-4"/>
    <x v="18"/>
  </r>
  <r>
    <s v="TXN100312"/>
    <n v="229"/>
    <x v="16"/>
    <d v="2026-01-25T08:45:00"/>
    <n v="1499"/>
    <s v="UPI"/>
    <s v="captured"/>
    <n v="78"/>
    <s v="Merchant_014"/>
    <s v="grocery"/>
    <s v="East"/>
    <n v="2.0000000000000001E-4"/>
    <x v="21"/>
  </r>
  <r>
    <s v="TXN100313"/>
    <n v="252"/>
    <x v="6"/>
    <d v="2026-01-10T22:58:00"/>
    <n v="99"/>
    <s v="Wallet"/>
    <s v="captured"/>
    <n v="15"/>
    <s v="Merchant_013"/>
    <s v="travel"/>
    <s v="East"/>
    <n v="5.0000000000000001E-4"/>
    <x v="27"/>
  </r>
  <r>
    <s v="TXN100314"/>
    <n v="89"/>
    <x v="26"/>
    <d v="2026-01-05T02:28:00"/>
    <n v="799"/>
    <s v="UPI"/>
    <s v="captured"/>
    <n v="11"/>
    <s v="Merchant_029"/>
    <s v="ecommerce"/>
    <s v="North"/>
    <n v="2.0000000000000001E-4"/>
    <x v="14"/>
  </r>
  <r>
    <s v="TXN100315"/>
    <n v="164"/>
    <x v="5"/>
    <d v="2026-01-26T21:54:00"/>
    <n v="49"/>
    <s v="Netbanking"/>
    <s v="captured"/>
    <n v="90"/>
    <s v="Merchant_023"/>
    <s v="travel"/>
    <s v="North"/>
    <n v="0.01"/>
    <x v="16"/>
  </r>
  <r>
    <s v="TXN100316"/>
    <n v="149"/>
    <x v="15"/>
    <d v="2026-01-03T17:34:00"/>
    <n v="299"/>
    <s v="Wallet"/>
    <s v="captured"/>
    <n v="20"/>
    <s v="Merchant_020"/>
    <s v="food_delivery"/>
    <s v="East"/>
    <n v="5.0000000000000001E-4"/>
    <x v="29"/>
  </r>
  <r>
    <s v="TXN100317"/>
    <n v="327"/>
    <x v="9"/>
    <d v="2026-01-23T22:59:00"/>
    <n v="49"/>
    <s v="Netbanking"/>
    <s v="captured"/>
    <n v="46"/>
    <s v="Merchant_012"/>
    <s v="ecommerce"/>
    <s v="East"/>
    <n v="0.01"/>
    <x v="20"/>
  </r>
  <r>
    <s v="TXN100318"/>
    <n v="103"/>
    <x v="39"/>
    <d v="2026-01-17T07:07:00"/>
    <n v="149"/>
    <s v="UPI"/>
    <s v="captured"/>
    <n v="30"/>
    <s v="Merchant_009"/>
    <s v="ecommerce"/>
    <s v="North"/>
    <n v="2.0000000000000001E-4"/>
    <x v="18"/>
  </r>
  <r>
    <s v="TXN100319"/>
    <n v="185"/>
    <x v="25"/>
    <d v="2026-01-26T15:01:00"/>
    <n v="49"/>
    <s v="Wallet"/>
    <s v="captured"/>
    <n v="73"/>
    <s v="Merchant_036"/>
    <s v="entertainment"/>
    <s v="East"/>
    <n v="5.0000000000000001E-4"/>
    <x v="16"/>
  </r>
  <r>
    <s v="TXN100320"/>
    <n v="283"/>
    <x v="39"/>
    <d v="2026-01-12T14:51:00"/>
    <n v="299"/>
    <s v="UPI"/>
    <s v="captured"/>
    <n v="78"/>
    <s v="Merchant_009"/>
    <s v="ecommerce"/>
    <s v="North"/>
    <n v="2.0000000000000001E-4"/>
    <x v="28"/>
  </r>
  <r>
    <s v="TXN100321"/>
    <n v="159"/>
    <x v="22"/>
    <d v="2026-01-29T02:04:00"/>
    <n v="99"/>
    <s v="UPI"/>
    <s v="captured"/>
    <n v="91"/>
    <s v="Merchant_026"/>
    <s v="food_delivery"/>
    <s v="East"/>
    <n v="2.0000000000000001E-4"/>
    <x v="0"/>
  </r>
  <r>
    <s v="TXN100322"/>
    <n v="211"/>
    <x v="1"/>
    <d v="2026-01-24T15:33:00"/>
    <n v="99"/>
    <s v="Wallet"/>
    <s v="captured"/>
    <n v="73"/>
    <s v="Merchant_027"/>
    <s v="ecommerce"/>
    <s v="North"/>
    <n v="5.0000000000000001E-4"/>
    <x v="2"/>
  </r>
  <r>
    <s v="TXN100323"/>
    <n v="329"/>
    <x v="32"/>
    <d v="2026-01-03T04:20:00"/>
    <n v="499"/>
    <s v="Netbanking"/>
    <s v="captured"/>
    <n v="57"/>
    <s v="Merchant_005"/>
    <s v="recharge"/>
    <s v="South"/>
    <n v="0.01"/>
    <x v="29"/>
  </r>
  <r>
    <s v="TXN100324"/>
    <n v="177"/>
    <x v="39"/>
    <d v="2026-01-15T21:33:00"/>
    <n v="99"/>
    <s v="UPI"/>
    <s v="captured"/>
    <n v="99"/>
    <s v="Merchant_009"/>
    <s v="ecommerce"/>
    <s v="North"/>
    <n v="2.0000000000000001E-4"/>
    <x v="17"/>
  </r>
  <r>
    <s v="TXN100325"/>
    <n v="94"/>
    <x v="39"/>
    <d v="2026-01-18T20:37:00"/>
    <n v="299"/>
    <s v="UPI"/>
    <s v="captured"/>
    <n v="55"/>
    <s v="Merchant_009"/>
    <s v="ecommerce"/>
    <s v="North"/>
    <n v="2.0000000000000001E-4"/>
    <x v="15"/>
  </r>
  <r>
    <s v="TXN100326"/>
    <n v="64"/>
    <x v="36"/>
    <d v="2026-01-17T01:53:00"/>
    <n v="299"/>
    <s v="UPI"/>
    <s v="captured"/>
    <n v="19"/>
    <s v="Merchant_034"/>
    <s v="travel"/>
    <s v="South"/>
    <n v="2.0000000000000001E-4"/>
    <x v="18"/>
  </r>
  <r>
    <s v="TXN100327"/>
    <n v="166"/>
    <x v="19"/>
    <d v="2026-01-10T05:10:00"/>
    <n v="49"/>
    <s v="UPI"/>
    <s v="captured"/>
    <n v="44"/>
    <s v="Merchant_015"/>
    <s v="travel"/>
    <s v="North"/>
    <n v="2.0000000000000001E-4"/>
    <x v="27"/>
  </r>
  <r>
    <s v="TXN100328"/>
    <n v="41"/>
    <x v="28"/>
    <d v="2026-01-17T09:54:00"/>
    <n v="299"/>
    <s v="Wallet"/>
    <s v="captured"/>
    <n v="25"/>
    <s v="Merchant_017"/>
    <s v="grocery"/>
    <s v="North"/>
    <n v="5.0000000000000001E-4"/>
    <x v="18"/>
  </r>
  <r>
    <s v="TXN100329"/>
    <n v="65"/>
    <x v="15"/>
    <d v="2026-01-21T17:17:00"/>
    <n v="99"/>
    <s v="Card"/>
    <s v="captured"/>
    <n v="78"/>
    <s v="Merchant_020"/>
    <s v="food_delivery"/>
    <s v="East"/>
    <n v="1.4999999999999999E-2"/>
    <x v="8"/>
  </r>
  <r>
    <s v="TXN100330"/>
    <n v="329"/>
    <x v="2"/>
    <d v="2026-01-18T02:32:00"/>
    <n v="499"/>
    <s v="UPI"/>
    <s v="captured"/>
    <n v="75"/>
    <s v="Merchant_011"/>
    <s v="ecommerce"/>
    <s v="North"/>
    <n v="2.0000000000000001E-4"/>
    <x v="15"/>
  </r>
  <r>
    <s v="TXN100331"/>
    <n v="338"/>
    <x v="12"/>
    <d v="2026-01-19T04:10:00"/>
    <n v="149"/>
    <s v="UPI"/>
    <s v="captured"/>
    <n v="92"/>
    <s v="Merchant_040"/>
    <s v="entertainment"/>
    <s v="South"/>
    <n v="2.0000000000000001E-4"/>
    <x v="23"/>
  </r>
  <r>
    <s v="TXN100332"/>
    <n v="289"/>
    <x v="4"/>
    <d v="2026-01-29T19:21:00"/>
    <n v="49"/>
    <s v="Netbanking"/>
    <s v="captured"/>
    <n v="3"/>
    <s v="Merchant_003"/>
    <s v="grocery"/>
    <s v="East"/>
    <n v="0.01"/>
    <x v="0"/>
  </r>
  <r>
    <s v="TXN100333"/>
    <n v="296"/>
    <x v="28"/>
    <d v="2026-01-03T01:41:00"/>
    <n v="99"/>
    <s v="UPI"/>
    <s v="captured"/>
    <n v="83"/>
    <s v="Merchant_017"/>
    <s v="grocery"/>
    <s v="North"/>
    <n v="2.0000000000000001E-4"/>
    <x v="29"/>
  </r>
  <r>
    <s v="TXN100334"/>
    <n v="317"/>
    <x v="27"/>
    <d v="2026-01-07T18:26:00"/>
    <n v="499"/>
    <s v="Card"/>
    <s v="captured"/>
    <n v="63"/>
    <s v="Merchant_002"/>
    <s v="grocery"/>
    <s v="West"/>
    <n v="1.4999999999999999E-2"/>
    <x v="25"/>
  </r>
  <r>
    <s v="TXN100335"/>
    <n v="149"/>
    <x v="15"/>
    <d v="2026-01-29T20:34:00"/>
    <n v="499"/>
    <s v="Card"/>
    <s v="captured"/>
    <n v="61"/>
    <s v="Merchant_020"/>
    <s v="food_delivery"/>
    <s v="East"/>
    <n v="1.4999999999999999E-2"/>
    <x v="0"/>
  </r>
  <r>
    <s v="TXN100336"/>
    <n v="153"/>
    <x v="24"/>
    <d v="2026-01-08T21:25:00"/>
    <n v="299"/>
    <s v="UPI"/>
    <s v="captured"/>
    <n v="9"/>
    <s v="Merchant_030"/>
    <s v="travel"/>
    <s v="West"/>
    <n v="2.0000000000000001E-4"/>
    <x v="5"/>
  </r>
  <r>
    <s v="TXN100337"/>
    <n v="226"/>
    <x v="1"/>
    <d v="2026-01-23T01:10:00"/>
    <n v="2999"/>
    <s v="UPI"/>
    <s v="chargeback"/>
    <n v="61"/>
    <s v="Merchant_027"/>
    <s v="ecommerce"/>
    <s v="North"/>
    <n v="2.0000000000000001E-4"/>
    <x v="20"/>
  </r>
  <r>
    <s v="TXN100338"/>
    <n v="311"/>
    <x v="34"/>
    <d v="2026-01-15T06:21:00"/>
    <n v="2999"/>
    <s v="UPI"/>
    <s v="captured"/>
    <n v="40"/>
    <s v="Merchant_010"/>
    <s v="grocery"/>
    <s v="West"/>
    <n v="2.0000000000000001E-4"/>
    <x v="17"/>
  </r>
  <r>
    <s v="TXN100339"/>
    <n v="177"/>
    <x v="22"/>
    <d v="2026-01-28T22:20:00"/>
    <n v="1499"/>
    <s v="UPI"/>
    <s v="captured"/>
    <n v="16"/>
    <s v="Merchant_026"/>
    <s v="food_delivery"/>
    <s v="East"/>
    <n v="2.0000000000000001E-4"/>
    <x v="19"/>
  </r>
  <r>
    <s v="TXN100340"/>
    <n v="288"/>
    <x v="23"/>
    <d v="2026-01-25T11:32:00"/>
    <n v="99"/>
    <s v="Netbanking"/>
    <s v="captured"/>
    <n v="40"/>
    <s v="Merchant_007"/>
    <s v="food_delivery"/>
    <s v="East"/>
    <n v="0.01"/>
    <x v="21"/>
  </r>
  <r>
    <s v="TXN100341"/>
    <n v="137"/>
    <x v="26"/>
    <d v="2026-01-08T14:07:00"/>
    <n v="2999"/>
    <s v="UPI"/>
    <s v="failed"/>
    <n v="31"/>
    <s v="Merchant_029"/>
    <s v="ecommerce"/>
    <s v="North"/>
    <n v="2.0000000000000001E-4"/>
    <x v="5"/>
  </r>
  <r>
    <s v="TXN100342"/>
    <n v="149"/>
    <x v="14"/>
    <d v="2026-01-05T03:03:00"/>
    <n v="1499"/>
    <s v="UPI"/>
    <s v="captured"/>
    <n v="78"/>
    <s v="Merchant_025"/>
    <s v="travel"/>
    <s v="South"/>
    <n v="2.0000000000000001E-4"/>
    <x v="14"/>
  </r>
  <r>
    <s v="TXN100343"/>
    <n v="82"/>
    <x v="17"/>
    <d v="2026-01-14T07:55:00"/>
    <n v="49"/>
    <s v="Wallet"/>
    <s v="captured"/>
    <n v="73"/>
    <s v="Merchant_021"/>
    <s v="food_delivery"/>
    <s v="East"/>
    <n v="5.0000000000000001E-4"/>
    <x v="12"/>
  </r>
  <r>
    <s v="TXN100344"/>
    <n v="82"/>
    <x v="33"/>
    <d v="2026-01-24T10:12:00"/>
    <n v="49"/>
    <s v="UPI"/>
    <s v="captured"/>
    <n v="65"/>
    <s v="Merchant_032"/>
    <s v="food_delivery"/>
    <s v="West"/>
    <n v="2.0000000000000001E-4"/>
    <x v="2"/>
  </r>
  <r>
    <s v="TXN100345"/>
    <n v="158"/>
    <x v="33"/>
    <d v="2026-01-15T15:56:00"/>
    <n v="99"/>
    <s v="Wallet"/>
    <s v="captured"/>
    <n v="2"/>
    <s v="Merchant_032"/>
    <s v="food_delivery"/>
    <s v="West"/>
    <n v="5.0000000000000001E-4"/>
    <x v="17"/>
  </r>
  <r>
    <s v="TXN100346"/>
    <n v="235"/>
    <x v="0"/>
    <d v="2026-01-03T12:32:00"/>
    <n v="99"/>
    <s v="UPI"/>
    <s v="captured"/>
    <n v="27"/>
    <s v="Merchant_016"/>
    <s v="bill_payment"/>
    <s v="West"/>
    <n v="2.0000000000000001E-4"/>
    <x v="29"/>
  </r>
  <r>
    <s v="TXN100347"/>
    <n v="26"/>
    <x v="13"/>
    <d v="2026-01-19T11:03:00"/>
    <n v="99"/>
    <s v="Wallet"/>
    <s v="captured"/>
    <n v="63"/>
    <s v="Merchant_019"/>
    <s v="grocery"/>
    <s v="North"/>
    <n v="5.0000000000000001E-4"/>
    <x v="23"/>
  </r>
  <r>
    <s v="TXN100348"/>
    <n v="241"/>
    <x v="13"/>
    <d v="2026-01-20T20:43:00"/>
    <n v="299"/>
    <s v="UPI"/>
    <s v="captured"/>
    <n v="68"/>
    <s v="Merchant_019"/>
    <s v="grocery"/>
    <s v="North"/>
    <n v="2.0000000000000001E-4"/>
    <x v="26"/>
  </r>
  <r>
    <s v="TXN100349"/>
    <n v="69"/>
    <x v="28"/>
    <d v="2026-01-01T03:27:00"/>
    <n v="1499"/>
    <s v="UPI"/>
    <s v="captured"/>
    <n v="93"/>
    <s v="Merchant_017"/>
    <s v="grocery"/>
    <s v="North"/>
    <n v="2.0000000000000001E-4"/>
    <x v="9"/>
  </r>
  <r>
    <s v="TXN100350"/>
    <n v="24"/>
    <x v="22"/>
    <d v="2026-01-12T12:23:00"/>
    <n v="299"/>
    <s v="Netbanking"/>
    <s v="captured"/>
    <n v="6"/>
    <s v="Merchant_026"/>
    <s v="food_delivery"/>
    <s v="East"/>
    <n v="0.01"/>
    <x v="28"/>
  </r>
  <r>
    <s v="TXN100351"/>
    <n v="186"/>
    <x v="25"/>
    <d v="2026-01-19T17:12:00"/>
    <n v="4999"/>
    <s v="UPI"/>
    <s v="captured"/>
    <n v="36"/>
    <s v="Merchant_036"/>
    <s v="entertainment"/>
    <s v="East"/>
    <n v="2.0000000000000001E-4"/>
    <x v="23"/>
  </r>
  <r>
    <s v="TXN100352"/>
    <n v="231"/>
    <x v="25"/>
    <d v="2026-01-03T12:32:00"/>
    <n v="149"/>
    <s v="UPI"/>
    <s v="captured"/>
    <n v="35"/>
    <s v="Merchant_036"/>
    <s v="entertainment"/>
    <s v="East"/>
    <n v="2.0000000000000001E-4"/>
    <x v="29"/>
  </r>
  <r>
    <s v="TXN100353"/>
    <n v="313"/>
    <x v="30"/>
    <d v="2026-01-27T19:43:00"/>
    <n v="1499"/>
    <s v="Netbanking"/>
    <s v="captured"/>
    <n v="16"/>
    <s v="Merchant_008"/>
    <s v="food_delivery"/>
    <s v="North"/>
    <n v="0.01"/>
    <x v="6"/>
  </r>
  <r>
    <s v="TXN100354"/>
    <n v="174"/>
    <x v="25"/>
    <d v="2026-01-04T12:23:00"/>
    <n v="149"/>
    <s v="UPI"/>
    <s v="captured"/>
    <n v="46"/>
    <s v="Merchant_036"/>
    <s v="entertainment"/>
    <s v="East"/>
    <n v="2.0000000000000001E-4"/>
    <x v="1"/>
  </r>
  <r>
    <s v="TXN100355"/>
    <n v="309"/>
    <x v="11"/>
    <d v="2026-01-25T04:12:00"/>
    <n v="99"/>
    <s v="UPI"/>
    <s v="captured"/>
    <n v="51"/>
    <s v="Merchant_033"/>
    <s v="bill_payment"/>
    <s v="East"/>
    <n v="2.0000000000000001E-4"/>
    <x v="21"/>
  </r>
  <r>
    <s v="TXN100356"/>
    <n v="20"/>
    <x v="39"/>
    <d v="2026-01-17T01:02:00"/>
    <n v="99"/>
    <s v="UPI"/>
    <s v="captured"/>
    <n v="91"/>
    <s v="Merchant_009"/>
    <s v="ecommerce"/>
    <s v="North"/>
    <n v="2.0000000000000001E-4"/>
    <x v="18"/>
  </r>
  <r>
    <s v="TXN100357"/>
    <n v="234"/>
    <x v="34"/>
    <d v="2026-01-11T15:33:00"/>
    <n v="49"/>
    <s v="UPI"/>
    <s v="captured"/>
    <n v="77"/>
    <s v="Merchant_010"/>
    <s v="grocery"/>
    <s v="West"/>
    <n v="2.0000000000000001E-4"/>
    <x v="7"/>
  </r>
  <r>
    <s v="TXN100358"/>
    <n v="168"/>
    <x v="12"/>
    <d v="2026-01-29T16:08:00"/>
    <n v="149"/>
    <s v="UPI"/>
    <s v="chargeback"/>
    <n v="40"/>
    <s v="Merchant_040"/>
    <s v="entertainment"/>
    <s v="South"/>
    <n v="2.0000000000000001E-4"/>
    <x v="0"/>
  </r>
  <r>
    <s v="TXN100359"/>
    <n v="154"/>
    <x v="35"/>
    <d v="2026-01-06T12:39:00"/>
    <n v="99"/>
    <s v="Netbanking"/>
    <s v="captured"/>
    <n v="43"/>
    <s v="Merchant_038"/>
    <s v="grocery"/>
    <s v="East"/>
    <n v="0.01"/>
    <x v="4"/>
  </r>
  <r>
    <s v="TXN100360"/>
    <n v="251"/>
    <x v="21"/>
    <d v="2026-01-17T16:34:00"/>
    <n v="49"/>
    <s v="UPI"/>
    <s v="captured"/>
    <n v="38"/>
    <s v="Merchant_037"/>
    <s v="entertainment"/>
    <s v="South"/>
    <n v="2.0000000000000001E-4"/>
    <x v="18"/>
  </r>
  <r>
    <s v="TXN100361"/>
    <n v="170"/>
    <x v="30"/>
    <d v="2026-01-16T00:23:00"/>
    <n v="2999"/>
    <s v="UPI"/>
    <s v="captured"/>
    <n v="53"/>
    <s v="Merchant_008"/>
    <s v="food_delivery"/>
    <s v="North"/>
    <n v="2.0000000000000001E-4"/>
    <x v="24"/>
  </r>
  <r>
    <s v="TXN100362"/>
    <n v="323"/>
    <x v="27"/>
    <d v="2026-01-19T09:50:00"/>
    <n v="49"/>
    <s v="Netbanking"/>
    <s v="captured"/>
    <n v="76"/>
    <s v="Merchant_002"/>
    <s v="grocery"/>
    <s v="West"/>
    <n v="0.01"/>
    <x v="23"/>
  </r>
  <r>
    <s v="TXN100363"/>
    <n v="297"/>
    <x v="21"/>
    <d v="2026-01-16T08:41:00"/>
    <n v="2999"/>
    <s v="Wallet"/>
    <s v="captured"/>
    <n v="29"/>
    <s v="Merchant_037"/>
    <s v="entertainment"/>
    <s v="South"/>
    <n v="5.0000000000000001E-4"/>
    <x v="24"/>
  </r>
  <r>
    <s v="TXN100364"/>
    <n v="246"/>
    <x v="2"/>
    <d v="2026-01-24T01:37:00"/>
    <n v="299"/>
    <s v="UPI"/>
    <s v="captured"/>
    <n v="67"/>
    <s v="Merchant_011"/>
    <s v="ecommerce"/>
    <s v="North"/>
    <n v="2.0000000000000001E-4"/>
    <x v="2"/>
  </r>
  <r>
    <s v="TXN100365"/>
    <n v="195"/>
    <x v="34"/>
    <d v="2026-01-21T23:39:00"/>
    <n v="99"/>
    <s v="UPI"/>
    <s v="captured"/>
    <n v="87"/>
    <s v="Merchant_010"/>
    <s v="grocery"/>
    <s v="West"/>
    <n v="2.0000000000000001E-4"/>
    <x v="8"/>
  </r>
  <r>
    <s v="TXN100366"/>
    <n v="57"/>
    <x v="6"/>
    <d v="2026-01-08T01:36:00"/>
    <n v="149"/>
    <s v="UPI"/>
    <s v="captured"/>
    <n v="2"/>
    <s v="Merchant_013"/>
    <s v="travel"/>
    <s v="East"/>
    <n v="2.0000000000000001E-4"/>
    <x v="5"/>
  </r>
  <r>
    <s v="TXN100367"/>
    <n v="78"/>
    <x v="1"/>
    <d v="2026-01-15T10:26:00"/>
    <n v="1499"/>
    <s v="Netbanking"/>
    <s v="failed"/>
    <n v="88"/>
    <s v="Merchant_027"/>
    <s v="ecommerce"/>
    <s v="North"/>
    <n v="0.01"/>
    <x v="17"/>
  </r>
  <r>
    <s v="TXN100368"/>
    <n v="314"/>
    <x v="20"/>
    <d v="2026-01-07T13:32:00"/>
    <n v="49"/>
    <s v="UPI"/>
    <s v="chargeback"/>
    <n v="94"/>
    <s v="Merchant_031"/>
    <s v="bill_payment"/>
    <s v="East"/>
    <n v="2.0000000000000001E-4"/>
    <x v="25"/>
  </r>
  <r>
    <s v="TXN100369"/>
    <n v="71"/>
    <x v="36"/>
    <d v="2026-01-24T01:45:00"/>
    <n v="499"/>
    <s v="UPI"/>
    <s v="captured"/>
    <n v="26"/>
    <s v="Merchant_034"/>
    <s v="travel"/>
    <s v="South"/>
    <n v="2.0000000000000001E-4"/>
    <x v="2"/>
  </r>
  <r>
    <s v="TXN100370"/>
    <n v="245"/>
    <x v="36"/>
    <d v="2026-01-18T10:42:00"/>
    <n v="99"/>
    <s v="UPI"/>
    <s v="captured"/>
    <n v="48"/>
    <s v="Merchant_034"/>
    <s v="travel"/>
    <s v="South"/>
    <n v="2.0000000000000001E-4"/>
    <x v="15"/>
  </r>
  <r>
    <s v="TXN100371"/>
    <n v="273"/>
    <x v="3"/>
    <d v="2026-01-11T05:29:00"/>
    <n v="299"/>
    <s v="Wallet"/>
    <s v="captured"/>
    <n v="69"/>
    <s v="Merchant_022"/>
    <s v="travel"/>
    <s v="South"/>
    <n v="5.0000000000000001E-4"/>
    <x v="7"/>
  </r>
  <r>
    <s v="TXN100372"/>
    <n v="349"/>
    <x v="28"/>
    <d v="2026-01-12T21:49:00"/>
    <n v="1499"/>
    <s v="UPI"/>
    <s v="captured"/>
    <n v="78"/>
    <s v="Merchant_017"/>
    <s v="grocery"/>
    <s v="North"/>
    <n v="2.0000000000000001E-4"/>
    <x v="28"/>
  </r>
  <r>
    <s v="TXN100373"/>
    <n v="143"/>
    <x v="25"/>
    <d v="2026-01-16T06:15:00"/>
    <n v="1499"/>
    <s v="Netbanking"/>
    <s v="captured"/>
    <n v="38"/>
    <s v="Merchant_036"/>
    <s v="entertainment"/>
    <s v="East"/>
    <n v="0.01"/>
    <x v="24"/>
  </r>
  <r>
    <s v="TXN100374"/>
    <n v="148"/>
    <x v="16"/>
    <d v="2026-01-08T09:49:00"/>
    <n v="799"/>
    <s v="Wallet"/>
    <s v="captured"/>
    <n v="88"/>
    <s v="Merchant_014"/>
    <s v="grocery"/>
    <s v="East"/>
    <n v="5.0000000000000001E-4"/>
    <x v="5"/>
  </r>
  <r>
    <s v="TXN100375"/>
    <n v="246"/>
    <x v="5"/>
    <d v="2026-01-23T15:20:00"/>
    <n v="49"/>
    <s v="UPI"/>
    <s v="captured"/>
    <n v="71"/>
    <s v="Merchant_023"/>
    <s v="travel"/>
    <s v="North"/>
    <n v="2.0000000000000001E-4"/>
    <x v="20"/>
  </r>
  <r>
    <s v="TXN100376"/>
    <n v="148"/>
    <x v="30"/>
    <d v="2026-01-30T23:17:00"/>
    <n v="99"/>
    <s v="Wallet"/>
    <s v="captured"/>
    <n v="73"/>
    <s v="Merchant_008"/>
    <s v="food_delivery"/>
    <s v="North"/>
    <n v="5.0000000000000001E-4"/>
    <x v="3"/>
  </r>
  <r>
    <s v="TXN100377"/>
    <n v="203"/>
    <x v="5"/>
    <d v="2026-01-22T17:24:00"/>
    <n v="49"/>
    <s v="UPI"/>
    <s v="captured"/>
    <n v="98"/>
    <s v="Merchant_023"/>
    <s v="travel"/>
    <s v="North"/>
    <n v="2.0000000000000001E-4"/>
    <x v="13"/>
  </r>
  <r>
    <s v="TXN100378"/>
    <n v="22"/>
    <x v="13"/>
    <d v="2026-01-26T04:18:00"/>
    <n v="49"/>
    <s v="Card"/>
    <s v="captured"/>
    <n v="91"/>
    <s v="Merchant_019"/>
    <s v="grocery"/>
    <s v="North"/>
    <n v="1.4999999999999999E-2"/>
    <x v="16"/>
  </r>
  <r>
    <s v="TXN100379"/>
    <n v="227"/>
    <x v="28"/>
    <d v="2026-01-03T11:59:00"/>
    <n v="299"/>
    <s v="Wallet"/>
    <s v="captured"/>
    <n v="95"/>
    <s v="Merchant_017"/>
    <s v="grocery"/>
    <s v="North"/>
    <n v="5.0000000000000001E-4"/>
    <x v="29"/>
  </r>
  <r>
    <s v="TXN100380"/>
    <n v="276"/>
    <x v="7"/>
    <d v="2026-01-16T06:12:00"/>
    <n v="149"/>
    <s v="Wallet"/>
    <s v="captured"/>
    <n v="71"/>
    <s v="Merchant_018"/>
    <s v="grocery"/>
    <s v="West"/>
    <n v="5.0000000000000001E-4"/>
    <x v="24"/>
  </r>
  <r>
    <s v="TXN100381"/>
    <n v="56"/>
    <x v="12"/>
    <d v="2026-01-23T08:08:00"/>
    <n v="99"/>
    <s v="Card"/>
    <s v="captured"/>
    <n v="94"/>
    <s v="Merchant_040"/>
    <s v="entertainment"/>
    <s v="South"/>
    <n v="1.4999999999999999E-2"/>
    <x v="20"/>
  </r>
  <r>
    <s v="TXN100382"/>
    <n v="26"/>
    <x v="36"/>
    <d v="2026-01-19T07:15:00"/>
    <n v="499"/>
    <s v="Card"/>
    <s v="captured"/>
    <n v="28"/>
    <s v="Merchant_034"/>
    <s v="travel"/>
    <s v="South"/>
    <n v="1.4999999999999999E-2"/>
    <x v="23"/>
  </r>
  <r>
    <s v="TXN100383"/>
    <n v="52"/>
    <x v="1"/>
    <d v="2026-01-21T07:03:00"/>
    <n v="499"/>
    <s v="Card"/>
    <s v="captured"/>
    <n v="42"/>
    <s v="Merchant_027"/>
    <s v="ecommerce"/>
    <s v="North"/>
    <n v="1.4999999999999999E-2"/>
    <x v="8"/>
  </r>
  <r>
    <s v="TXN100384"/>
    <n v="349"/>
    <x v="39"/>
    <d v="2026-01-23T15:06:00"/>
    <n v="499"/>
    <s v="Wallet"/>
    <s v="captured"/>
    <n v="0"/>
    <s v="Merchant_009"/>
    <s v="ecommerce"/>
    <s v="North"/>
    <n v="5.0000000000000001E-4"/>
    <x v="20"/>
  </r>
  <r>
    <s v="TXN100385"/>
    <n v="335"/>
    <x v="20"/>
    <d v="2026-01-18T05:26:00"/>
    <n v="49"/>
    <s v="Card"/>
    <s v="captured"/>
    <n v="61"/>
    <s v="Merchant_031"/>
    <s v="bill_payment"/>
    <s v="East"/>
    <n v="1.4999999999999999E-2"/>
    <x v="15"/>
  </r>
  <r>
    <s v="TXN100386"/>
    <n v="148"/>
    <x v="17"/>
    <d v="2026-01-21T06:48:00"/>
    <n v="49"/>
    <s v="Card"/>
    <s v="captured"/>
    <n v="36"/>
    <s v="Merchant_021"/>
    <s v="food_delivery"/>
    <s v="East"/>
    <n v="1.4999999999999999E-2"/>
    <x v="8"/>
  </r>
  <r>
    <s v="TXN100387"/>
    <n v="46"/>
    <x v="21"/>
    <d v="2026-01-21T01:58:00"/>
    <n v="99"/>
    <s v="Wallet"/>
    <s v="captured"/>
    <n v="29"/>
    <s v="Merchant_037"/>
    <s v="entertainment"/>
    <s v="South"/>
    <n v="5.0000000000000001E-4"/>
    <x v="8"/>
  </r>
  <r>
    <s v="TXN100388"/>
    <n v="20"/>
    <x v="9"/>
    <d v="2026-01-18T23:46:00"/>
    <n v="799"/>
    <s v="Card"/>
    <s v="captured"/>
    <n v="53"/>
    <s v="Merchant_012"/>
    <s v="ecommerce"/>
    <s v="East"/>
    <n v="1.4999999999999999E-2"/>
    <x v="15"/>
  </r>
  <r>
    <s v="TXN100389"/>
    <n v="19"/>
    <x v="22"/>
    <d v="2026-01-29T05:59:00"/>
    <n v="49"/>
    <s v="UPI"/>
    <s v="captured"/>
    <n v="100"/>
    <s v="Merchant_026"/>
    <s v="food_delivery"/>
    <s v="East"/>
    <n v="2.0000000000000001E-4"/>
    <x v="0"/>
  </r>
  <r>
    <s v="TXN100390"/>
    <n v="149"/>
    <x v="4"/>
    <d v="2026-01-16T05:59:00"/>
    <n v="4999"/>
    <s v="Wallet"/>
    <s v="captured"/>
    <n v="1"/>
    <s v="Merchant_003"/>
    <s v="grocery"/>
    <s v="East"/>
    <n v="5.0000000000000001E-4"/>
    <x v="24"/>
  </r>
  <r>
    <s v="TXN100391"/>
    <n v="55"/>
    <x v="3"/>
    <d v="2026-01-10T18:38:00"/>
    <n v="499"/>
    <s v="UPI"/>
    <s v="captured"/>
    <n v="36"/>
    <s v="Merchant_022"/>
    <s v="travel"/>
    <s v="South"/>
    <n v="2.0000000000000001E-4"/>
    <x v="27"/>
  </r>
  <r>
    <s v="TXN100392"/>
    <n v="269"/>
    <x v="33"/>
    <d v="2026-01-15T20:34:00"/>
    <n v="49"/>
    <s v="Card"/>
    <s v="captured"/>
    <n v="17"/>
    <s v="Merchant_032"/>
    <s v="food_delivery"/>
    <s v="West"/>
    <n v="1.4999999999999999E-2"/>
    <x v="17"/>
  </r>
  <r>
    <s v="TXN100393"/>
    <n v="140"/>
    <x v="6"/>
    <d v="2026-01-28T16:29:00"/>
    <n v="2999"/>
    <s v="UPI"/>
    <s v="captured"/>
    <n v="14"/>
    <s v="Merchant_013"/>
    <s v="travel"/>
    <s v="East"/>
    <n v="2.0000000000000001E-4"/>
    <x v="19"/>
  </r>
  <r>
    <s v="TXN100394"/>
    <n v="235"/>
    <x v="28"/>
    <d v="2026-01-11T05:46:00"/>
    <n v="2999"/>
    <s v="UPI"/>
    <s v="captured"/>
    <n v="91"/>
    <s v="Merchant_017"/>
    <s v="grocery"/>
    <s v="North"/>
    <n v="2.0000000000000001E-4"/>
    <x v="7"/>
  </r>
  <r>
    <s v="TXN100395"/>
    <n v="173"/>
    <x v="13"/>
    <d v="2026-01-06T00:47:00"/>
    <n v="499"/>
    <s v="UPI"/>
    <s v="failed"/>
    <n v="72"/>
    <s v="Merchant_019"/>
    <s v="grocery"/>
    <s v="North"/>
    <n v="2.0000000000000001E-4"/>
    <x v="4"/>
  </r>
  <r>
    <s v="TXN100396"/>
    <n v="313"/>
    <x v="22"/>
    <d v="2026-01-22T06:11:00"/>
    <n v="499"/>
    <s v="UPI"/>
    <s v="captured"/>
    <n v="54"/>
    <s v="Merchant_026"/>
    <s v="food_delivery"/>
    <s v="East"/>
    <n v="2.0000000000000001E-4"/>
    <x v="13"/>
  </r>
  <r>
    <s v="TXN100397"/>
    <n v="206"/>
    <x v="23"/>
    <d v="2026-01-17T10:05:00"/>
    <n v="149"/>
    <s v="Wallet"/>
    <s v="captured"/>
    <n v="23"/>
    <s v="Merchant_007"/>
    <s v="food_delivery"/>
    <s v="East"/>
    <n v="5.0000000000000001E-4"/>
    <x v="18"/>
  </r>
  <r>
    <s v="TXN100398"/>
    <n v="128"/>
    <x v="37"/>
    <d v="2026-01-05T15:20:00"/>
    <n v="1499"/>
    <s v="Netbanking"/>
    <s v="captured"/>
    <n v="33"/>
    <s v="Merchant_001"/>
    <s v="ecommerce"/>
    <s v="South"/>
    <n v="0.01"/>
    <x v="14"/>
  </r>
  <r>
    <s v="TXN100399"/>
    <n v="137"/>
    <x v="3"/>
    <d v="2026-01-13T07:28:00"/>
    <n v="799"/>
    <s v="UPI"/>
    <s v="failed"/>
    <n v="38"/>
    <s v="Merchant_022"/>
    <s v="travel"/>
    <s v="South"/>
    <n v="2.0000000000000001E-4"/>
    <x v="11"/>
  </r>
  <r>
    <s v="TXN100400"/>
    <n v="6"/>
    <x v="28"/>
    <d v="2026-01-19T23:36:00"/>
    <n v="49"/>
    <s v="UPI"/>
    <s v="captured"/>
    <n v="83"/>
    <s v="Merchant_017"/>
    <s v="grocery"/>
    <s v="North"/>
    <n v="2.0000000000000001E-4"/>
    <x v="23"/>
  </r>
  <r>
    <s v="TXN100401"/>
    <n v="32"/>
    <x v="30"/>
    <d v="2026-01-12T22:15:00"/>
    <n v="299"/>
    <s v="Card"/>
    <s v="captured"/>
    <n v="59"/>
    <s v="Merchant_008"/>
    <s v="food_delivery"/>
    <s v="North"/>
    <n v="1.4999999999999999E-2"/>
    <x v="28"/>
  </r>
  <r>
    <s v="TXN100402"/>
    <n v="258"/>
    <x v="15"/>
    <d v="2026-01-10T05:25:00"/>
    <n v="149"/>
    <s v="UPI"/>
    <s v="captured"/>
    <n v="88"/>
    <s v="Merchant_020"/>
    <s v="food_delivery"/>
    <s v="East"/>
    <n v="2.0000000000000001E-4"/>
    <x v="27"/>
  </r>
  <r>
    <s v="TXN100403"/>
    <n v="152"/>
    <x v="31"/>
    <d v="2026-01-04T20:58:00"/>
    <n v="149"/>
    <s v="UPI"/>
    <s v="chargeback"/>
    <n v="78"/>
    <s v="Merchant_024"/>
    <s v="grocery"/>
    <s v="North"/>
    <n v="2.0000000000000001E-4"/>
    <x v="1"/>
  </r>
  <r>
    <s v="TXN100404"/>
    <n v="245"/>
    <x v="34"/>
    <d v="2026-01-08T07:08:00"/>
    <n v="799"/>
    <s v="Wallet"/>
    <s v="captured"/>
    <n v="58"/>
    <s v="Merchant_010"/>
    <s v="grocery"/>
    <s v="West"/>
    <n v="5.0000000000000001E-4"/>
    <x v="5"/>
  </r>
  <r>
    <s v="TXN100405"/>
    <n v="213"/>
    <x v="25"/>
    <d v="2026-01-24T19:23:00"/>
    <n v="49"/>
    <s v="Wallet"/>
    <s v="captured"/>
    <n v="60"/>
    <s v="Merchant_036"/>
    <s v="entertainment"/>
    <s v="East"/>
    <n v="5.0000000000000001E-4"/>
    <x v="2"/>
  </r>
  <r>
    <s v="TXN100406"/>
    <n v="341"/>
    <x v="16"/>
    <d v="2026-01-25T17:51:00"/>
    <n v="99"/>
    <s v="Netbanking"/>
    <s v="captured"/>
    <n v="97"/>
    <s v="Merchant_014"/>
    <s v="grocery"/>
    <s v="East"/>
    <n v="0.01"/>
    <x v="21"/>
  </r>
  <r>
    <s v="TXN100407"/>
    <n v="306"/>
    <x v="18"/>
    <d v="2026-01-08T21:48:00"/>
    <n v="149"/>
    <s v="Netbanking"/>
    <s v="captured"/>
    <n v="67"/>
    <s v="Merchant_006"/>
    <s v="food_delivery"/>
    <s v="South"/>
    <n v="0.01"/>
    <x v="5"/>
  </r>
  <r>
    <s v="TXN100408"/>
    <n v="186"/>
    <x v="32"/>
    <d v="2026-01-15T16:45:00"/>
    <n v="499"/>
    <s v="UPI"/>
    <s v="captured"/>
    <n v="72"/>
    <s v="Merchant_005"/>
    <s v="recharge"/>
    <s v="South"/>
    <n v="2.0000000000000001E-4"/>
    <x v="17"/>
  </r>
  <r>
    <s v="TXN100409"/>
    <n v="281"/>
    <x v="11"/>
    <d v="2026-01-04T01:53:00"/>
    <n v="4999"/>
    <s v="UPI"/>
    <s v="captured"/>
    <n v="25"/>
    <s v="Merchant_033"/>
    <s v="bill_payment"/>
    <s v="East"/>
    <n v="2.0000000000000001E-4"/>
    <x v="1"/>
  </r>
  <r>
    <s v="TXN100410"/>
    <n v="85"/>
    <x v="17"/>
    <d v="2026-01-19T17:09:00"/>
    <n v="99"/>
    <s v="UPI"/>
    <s v="captured"/>
    <n v="66"/>
    <s v="Merchant_021"/>
    <s v="food_delivery"/>
    <s v="East"/>
    <n v="2.0000000000000001E-4"/>
    <x v="23"/>
  </r>
  <r>
    <s v="TXN100411"/>
    <n v="106"/>
    <x v="35"/>
    <d v="2026-01-15T03:43:00"/>
    <n v="499"/>
    <s v="UPI"/>
    <s v="captured"/>
    <n v="62"/>
    <s v="Merchant_038"/>
    <s v="grocery"/>
    <s v="East"/>
    <n v="2.0000000000000001E-4"/>
    <x v="17"/>
  </r>
  <r>
    <s v="TXN100412"/>
    <n v="29"/>
    <x v="24"/>
    <d v="2026-01-03T16:28:00"/>
    <n v="149"/>
    <s v="Netbanking"/>
    <s v="captured"/>
    <n v="16"/>
    <s v="Merchant_030"/>
    <s v="travel"/>
    <s v="West"/>
    <n v="0.01"/>
    <x v="29"/>
  </r>
  <r>
    <s v="TXN100413"/>
    <n v="289"/>
    <x v="29"/>
    <d v="2026-01-17T13:29:00"/>
    <n v="1499"/>
    <s v="Card"/>
    <s v="captured"/>
    <n v="71"/>
    <s v="Merchant_004"/>
    <s v="ecommerce"/>
    <s v="East"/>
    <n v="1.4999999999999999E-2"/>
    <x v="18"/>
  </r>
  <r>
    <s v="TXN100414"/>
    <n v="158"/>
    <x v="27"/>
    <d v="2026-01-15T21:51:00"/>
    <n v="1499"/>
    <s v="Card"/>
    <s v="captured"/>
    <n v="50"/>
    <s v="Merchant_002"/>
    <s v="grocery"/>
    <s v="West"/>
    <n v="1.4999999999999999E-2"/>
    <x v="17"/>
  </r>
  <r>
    <s v="TXN100415"/>
    <n v="112"/>
    <x v="35"/>
    <d v="2026-01-09T00:47:00"/>
    <n v="49"/>
    <s v="UPI"/>
    <s v="captured"/>
    <n v="9"/>
    <s v="Merchant_038"/>
    <s v="grocery"/>
    <s v="East"/>
    <n v="2.0000000000000001E-4"/>
    <x v="10"/>
  </r>
  <r>
    <s v="TXN100416"/>
    <n v="33"/>
    <x v="8"/>
    <d v="2026-01-02T13:22:00"/>
    <n v="299"/>
    <s v="Card"/>
    <s v="failed"/>
    <n v="7"/>
    <s v="Merchant_035"/>
    <s v="recharge"/>
    <s v="East"/>
    <n v="1.4999999999999999E-2"/>
    <x v="22"/>
  </r>
  <r>
    <s v="TXN100417"/>
    <n v="242"/>
    <x v="4"/>
    <d v="2026-01-30T02:59:00"/>
    <n v="49"/>
    <s v="UPI"/>
    <s v="captured"/>
    <n v="36"/>
    <s v="Merchant_003"/>
    <s v="grocery"/>
    <s v="East"/>
    <n v="2.0000000000000001E-4"/>
    <x v="3"/>
  </r>
  <r>
    <s v="TXN100418"/>
    <n v="70"/>
    <x v="1"/>
    <d v="2026-01-14T05:49:00"/>
    <n v="149"/>
    <s v="UPI"/>
    <s v="captured"/>
    <n v="47"/>
    <s v="Merchant_027"/>
    <s v="ecommerce"/>
    <s v="North"/>
    <n v="2.0000000000000001E-4"/>
    <x v="12"/>
  </r>
  <r>
    <s v="TXN100419"/>
    <n v="194"/>
    <x v="14"/>
    <d v="2026-01-29T12:28:00"/>
    <n v="49"/>
    <s v="Wallet"/>
    <s v="captured"/>
    <n v="10"/>
    <s v="Merchant_025"/>
    <s v="travel"/>
    <s v="South"/>
    <n v="5.0000000000000001E-4"/>
    <x v="0"/>
  </r>
  <r>
    <s v="TXN100420"/>
    <n v="277"/>
    <x v="39"/>
    <d v="2026-01-22T21:55:00"/>
    <n v="799"/>
    <s v="UPI"/>
    <s v="captured"/>
    <n v="83"/>
    <s v="Merchant_009"/>
    <s v="ecommerce"/>
    <s v="North"/>
    <n v="2.0000000000000001E-4"/>
    <x v="13"/>
  </r>
  <r>
    <s v="TXN100421"/>
    <n v="92"/>
    <x v="8"/>
    <d v="2026-01-28T11:07:00"/>
    <n v="49"/>
    <s v="UPI"/>
    <s v="captured"/>
    <n v="50"/>
    <s v="Merchant_035"/>
    <s v="recharge"/>
    <s v="East"/>
    <n v="2.0000000000000001E-4"/>
    <x v="19"/>
  </r>
  <r>
    <s v="TXN100422"/>
    <n v="115"/>
    <x v="37"/>
    <d v="2026-01-17T04:46:00"/>
    <n v="149"/>
    <s v="Wallet"/>
    <s v="captured"/>
    <n v="96"/>
    <s v="Merchant_001"/>
    <s v="ecommerce"/>
    <s v="South"/>
    <n v="5.0000000000000001E-4"/>
    <x v="18"/>
  </r>
  <r>
    <s v="TXN100423"/>
    <n v="345"/>
    <x v="8"/>
    <d v="2026-01-01T09:29:00"/>
    <n v="499"/>
    <s v="Card"/>
    <s v="captured"/>
    <n v="54"/>
    <s v="Merchant_035"/>
    <s v="recharge"/>
    <s v="East"/>
    <n v="1.4999999999999999E-2"/>
    <x v="9"/>
  </r>
  <r>
    <s v="TXN100424"/>
    <n v="118"/>
    <x v="0"/>
    <d v="2026-01-18T12:52:00"/>
    <n v="49"/>
    <s v="UPI"/>
    <s v="captured"/>
    <n v="58"/>
    <s v="Merchant_016"/>
    <s v="bill_payment"/>
    <s v="West"/>
    <n v="2.0000000000000001E-4"/>
    <x v="15"/>
  </r>
  <r>
    <s v="TXN100425"/>
    <n v="97"/>
    <x v="30"/>
    <d v="2026-01-12T04:17:00"/>
    <n v="99"/>
    <s v="Netbanking"/>
    <s v="captured"/>
    <n v="4"/>
    <s v="Merchant_008"/>
    <s v="food_delivery"/>
    <s v="North"/>
    <n v="0.01"/>
    <x v="28"/>
  </r>
  <r>
    <s v="TXN100426"/>
    <n v="315"/>
    <x v="27"/>
    <d v="2026-01-26T21:26:00"/>
    <n v="299"/>
    <s v="Wallet"/>
    <s v="captured"/>
    <n v="30"/>
    <s v="Merchant_002"/>
    <s v="grocery"/>
    <s v="West"/>
    <n v="5.0000000000000001E-4"/>
    <x v="16"/>
  </r>
  <r>
    <s v="TXN100427"/>
    <n v="305"/>
    <x v="4"/>
    <d v="2026-01-07T02:06:00"/>
    <n v="299"/>
    <s v="UPI"/>
    <s v="captured"/>
    <n v="57"/>
    <s v="Merchant_003"/>
    <s v="grocery"/>
    <s v="East"/>
    <n v="2.0000000000000001E-4"/>
    <x v="25"/>
  </r>
  <r>
    <s v="TXN100428"/>
    <n v="25"/>
    <x v="0"/>
    <d v="2026-01-20T21:45:00"/>
    <n v="299"/>
    <s v="UPI"/>
    <s v="captured"/>
    <n v="94"/>
    <s v="Merchant_016"/>
    <s v="bill_payment"/>
    <s v="West"/>
    <n v="2.0000000000000001E-4"/>
    <x v="26"/>
  </r>
  <r>
    <s v="TXN100429"/>
    <n v="120"/>
    <x v="8"/>
    <d v="2026-01-02T12:28:00"/>
    <n v="49"/>
    <s v="UPI"/>
    <s v="captured"/>
    <n v="27"/>
    <s v="Merchant_035"/>
    <s v="recharge"/>
    <s v="East"/>
    <n v="2.0000000000000001E-4"/>
    <x v="22"/>
  </r>
  <r>
    <s v="TXN100430"/>
    <n v="258"/>
    <x v="13"/>
    <d v="2026-01-25T01:08:00"/>
    <n v="49"/>
    <s v="Wallet"/>
    <s v="captured"/>
    <n v="29"/>
    <s v="Merchant_019"/>
    <s v="grocery"/>
    <s v="North"/>
    <n v="5.0000000000000001E-4"/>
    <x v="21"/>
  </r>
  <r>
    <s v="TXN100431"/>
    <n v="164"/>
    <x v="21"/>
    <d v="2026-01-27T23:36:00"/>
    <n v="799"/>
    <s v="UPI"/>
    <s v="captured"/>
    <n v="76"/>
    <s v="Merchant_037"/>
    <s v="entertainment"/>
    <s v="South"/>
    <n v="2.0000000000000001E-4"/>
    <x v="6"/>
  </r>
  <r>
    <s v="TXN100432"/>
    <n v="165"/>
    <x v="0"/>
    <d v="2026-01-25T21:52:00"/>
    <n v="49"/>
    <s v="Wallet"/>
    <s v="captured"/>
    <n v="38"/>
    <s v="Merchant_016"/>
    <s v="bill_payment"/>
    <s v="West"/>
    <n v="5.0000000000000001E-4"/>
    <x v="21"/>
  </r>
  <r>
    <s v="TXN100433"/>
    <n v="267"/>
    <x v="19"/>
    <d v="2026-01-29T04:42:00"/>
    <n v="49"/>
    <s v="Netbanking"/>
    <s v="captured"/>
    <n v="52"/>
    <s v="Merchant_015"/>
    <s v="travel"/>
    <s v="North"/>
    <n v="0.01"/>
    <x v="0"/>
  </r>
  <r>
    <s v="TXN100434"/>
    <n v="286"/>
    <x v="35"/>
    <d v="2026-01-10T08:03:00"/>
    <n v="299"/>
    <s v="Wallet"/>
    <s v="captured"/>
    <n v="94"/>
    <s v="Merchant_038"/>
    <s v="grocery"/>
    <s v="East"/>
    <n v="5.0000000000000001E-4"/>
    <x v="27"/>
  </r>
  <r>
    <s v="TXN100435"/>
    <n v="348"/>
    <x v="10"/>
    <d v="2026-01-30T05:40:00"/>
    <n v="499"/>
    <s v="Card"/>
    <s v="captured"/>
    <n v="71"/>
    <s v="Merchant_028"/>
    <s v="ecommerce"/>
    <s v="South"/>
    <n v="1.4999999999999999E-2"/>
    <x v="3"/>
  </r>
  <r>
    <s v="TXN100436"/>
    <n v="330"/>
    <x v="14"/>
    <d v="2026-01-16T01:22:00"/>
    <n v="799"/>
    <s v="UPI"/>
    <s v="captured"/>
    <n v="100"/>
    <s v="Merchant_025"/>
    <s v="travel"/>
    <s v="South"/>
    <n v="2.0000000000000001E-4"/>
    <x v="24"/>
  </r>
  <r>
    <s v="TXN100437"/>
    <n v="214"/>
    <x v="1"/>
    <d v="2026-01-17T10:44:00"/>
    <n v="299"/>
    <s v="Card"/>
    <s v="captured"/>
    <n v="19"/>
    <s v="Merchant_027"/>
    <s v="ecommerce"/>
    <s v="North"/>
    <n v="1.4999999999999999E-2"/>
    <x v="18"/>
  </r>
  <r>
    <s v="TXN100438"/>
    <n v="276"/>
    <x v="20"/>
    <d v="2026-01-10T12:11:00"/>
    <n v="499"/>
    <s v="UPI"/>
    <s v="captured"/>
    <n v="30"/>
    <s v="Merchant_031"/>
    <s v="bill_payment"/>
    <s v="East"/>
    <n v="2.0000000000000001E-4"/>
    <x v="27"/>
  </r>
  <r>
    <s v="TXN100439"/>
    <n v="74"/>
    <x v="24"/>
    <d v="2026-01-28T07:19:00"/>
    <n v="49"/>
    <s v="UPI"/>
    <s v="captured"/>
    <n v="7"/>
    <s v="Merchant_030"/>
    <s v="travel"/>
    <s v="West"/>
    <n v="2.0000000000000001E-4"/>
    <x v="19"/>
  </r>
  <r>
    <s v="TXN100440"/>
    <n v="286"/>
    <x v="36"/>
    <d v="2026-01-18T13:26:00"/>
    <n v="49"/>
    <s v="Card"/>
    <s v="captured"/>
    <n v="17"/>
    <s v="Merchant_034"/>
    <s v="travel"/>
    <s v="South"/>
    <n v="1.4999999999999999E-2"/>
    <x v="15"/>
  </r>
  <r>
    <s v="TXN100441"/>
    <n v="105"/>
    <x v="3"/>
    <d v="2026-01-13T07:16:00"/>
    <n v="4999"/>
    <s v="UPI"/>
    <s v="captured"/>
    <n v="82"/>
    <s v="Merchant_022"/>
    <s v="travel"/>
    <s v="South"/>
    <n v="2.0000000000000001E-4"/>
    <x v="11"/>
  </r>
  <r>
    <s v="TXN100442"/>
    <n v="190"/>
    <x v="18"/>
    <d v="2026-01-03T14:54:00"/>
    <n v="799"/>
    <s v="Wallet"/>
    <s v="captured"/>
    <n v="68"/>
    <s v="Merchant_006"/>
    <s v="food_delivery"/>
    <s v="South"/>
    <n v="5.0000000000000001E-4"/>
    <x v="29"/>
  </r>
  <r>
    <s v="TXN100443"/>
    <n v="138"/>
    <x v="14"/>
    <d v="2026-01-24T06:03:00"/>
    <n v="299"/>
    <s v="Wallet"/>
    <s v="captured"/>
    <n v="86"/>
    <s v="Merchant_025"/>
    <s v="travel"/>
    <s v="South"/>
    <n v="5.0000000000000001E-4"/>
    <x v="2"/>
  </r>
  <r>
    <s v="TXN100444"/>
    <n v="38"/>
    <x v="6"/>
    <d v="2026-01-20T19:02:00"/>
    <n v="4999"/>
    <s v="Netbanking"/>
    <s v="captured"/>
    <n v="97"/>
    <s v="Merchant_013"/>
    <s v="travel"/>
    <s v="East"/>
    <n v="0.01"/>
    <x v="26"/>
  </r>
  <r>
    <s v="TXN100445"/>
    <n v="287"/>
    <x v="16"/>
    <d v="2026-01-19T23:42:00"/>
    <n v="99"/>
    <s v="Wallet"/>
    <s v="captured"/>
    <n v="61"/>
    <s v="Merchant_014"/>
    <s v="grocery"/>
    <s v="East"/>
    <n v="5.0000000000000001E-4"/>
    <x v="23"/>
  </r>
  <r>
    <s v="TXN100446"/>
    <n v="8"/>
    <x v="16"/>
    <d v="2026-01-07T10:19:00"/>
    <n v="49"/>
    <s v="UPI"/>
    <s v="captured"/>
    <n v="24"/>
    <s v="Merchant_014"/>
    <s v="grocery"/>
    <s v="East"/>
    <n v="2.0000000000000001E-4"/>
    <x v="25"/>
  </r>
  <r>
    <s v="TXN100447"/>
    <n v="246"/>
    <x v="0"/>
    <d v="2026-01-24T03:47:00"/>
    <n v="1499"/>
    <s v="Wallet"/>
    <s v="captured"/>
    <n v="89"/>
    <s v="Merchant_016"/>
    <s v="bill_payment"/>
    <s v="West"/>
    <n v="5.0000000000000001E-4"/>
    <x v="2"/>
  </r>
  <r>
    <s v="TXN100448"/>
    <n v="204"/>
    <x v="0"/>
    <d v="2026-01-20T22:13:00"/>
    <n v="149"/>
    <s v="UPI"/>
    <s v="captured"/>
    <n v="70"/>
    <s v="Merchant_016"/>
    <s v="bill_payment"/>
    <s v="West"/>
    <n v="2.0000000000000001E-4"/>
    <x v="26"/>
  </r>
  <r>
    <s v="TXN100449"/>
    <n v="239"/>
    <x v="8"/>
    <d v="2026-01-11T09:24:00"/>
    <n v="4999"/>
    <s v="UPI"/>
    <s v="captured"/>
    <n v="83"/>
    <s v="Merchant_035"/>
    <s v="recharge"/>
    <s v="East"/>
    <n v="2.0000000000000001E-4"/>
    <x v="7"/>
  </r>
  <r>
    <s v="TXN100450"/>
    <n v="185"/>
    <x v="11"/>
    <d v="2026-01-12T09:16:00"/>
    <n v="299"/>
    <s v="UPI"/>
    <s v="captured"/>
    <n v="63"/>
    <s v="Merchant_033"/>
    <s v="bill_payment"/>
    <s v="East"/>
    <n v="2.0000000000000001E-4"/>
    <x v="28"/>
  </r>
  <r>
    <s v="TXN100451"/>
    <n v="241"/>
    <x v="17"/>
    <d v="2026-01-15T03:51:00"/>
    <n v="299"/>
    <s v="Card"/>
    <s v="captured"/>
    <n v="26"/>
    <s v="Merchant_021"/>
    <s v="food_delivery"/>
    <s v="East"/>
    <n v="1.4999999999999999E-2"/>
    <x v="17"/>
  </r>
  <r>
    <s v="TXN100452"/>
    <n v="24"/>
    <x v="21"/>
    <d v="2026-01-12T10:26:00"/>
    <n v="149"/>
    <s v="UPI"/>
    <s v="captured"/>
    <n v="28"/>
    <s v="Merchant_037"/>
    <s v="entertainment"/>
    <s v="South"/>
    <n v="2.0000000000000001E-4"/>
    <x v="28"/>
  </r>
  <r>
    <s v="TXN100453"/>
    <n v="134"/>
    <x v="25"/>
    <d v="2026-01-24T04:01:00"/>
    <n v="1499"/>
    <s v="UPI"/>
    <s v="captured"/>
    <n v="74"/>
    <s v="Merchant_036"/>
    <s v="entertainment"/>
    <s v="East"/>
    <n v="2.0000000000000001E-4"/>
    <x v="2"/>
  </r>
  <r>
    <s v="TXN100454"/>
    <n v="152"/>
    <x v="34"/>
    <d v="2026-01-19T23:26:00"/>
    <n v="499"/>
    <s v="Wallet"/>
    <s v="captured"/>
    <n v="25"/>
    <s v="Merchant_010"/>
    <s v="grocery"/>
    <s v="West"/>
    <n v="5.0000000000000001E-4"/>
    <x v="23"/>
  </r>
  <r>
    <s v="TXN100455"/>
    <n v="292"/>
    <x v="0"/>
    <d v="2026-01-11T07:24:00"/>
    <n v="499"/>
    <s v="Netbanking"/>
    <s v="captured"/>
    <n v="63"/>
    <s v="Merchant_016"/>
    <s v="bill_payment"/>
    <s v="West"/>
    <n v="0.01"/>
    <x v="7"/>
  </r>
  <r>
    <s v="TXN100456"/>
    <n v="173"/>
    <x v="28"/>
    <d v="2026-01-18T20:43:00"/>
    <n v="99"/>
    <s v="Netbanking"/>
    <s v="captured"/>
    <n v="97"/>
    <s v="Merchant_017"/>
    <s v="grocery"/>
    <s v="North"/>
    <n v="0.01"/>
    <x v="15"/>
  </r>
  <r>
    <s v="TXN100457"/>
    <n v="329"/>
    <x v="33"/>
    <d v="2026-01-27T15:46:00"/>
    <n v="1499"/>
    <s v="UPI"/>
    <s v="captured"/>
    <n v="58"/>
    <s v="Merchant_032"/>
    <s v="food_delivery"/>
    <s v="West"/>
    <n v="2.0000000000000001E-4"/>
    <x v="6"/>
  </r>
  <r>
    <s v="TXN100458"/>
    <n v="181"/>
    <x v="2"/>
    <d v="2026-01-06T23:50:00"/>
    <n v="1499"/>
    <s v="UPI"/>
    <s v="captured"/>
    <n v="17"/>
    <s v="Merchant_011"/>
    <s v="ecommerce"/>
    <s v="North"/>
    <n v="2.0000000000000001E-4"/>
    <x v="4"/>
  </r>
  <r>
    <s v="TXN100459"/>
    <n v="95"/>
    <x v="8"/>
    <d v="2026-01-24T17:31:00"/>
    <n v="149"/>
    <s v="Wallet"/>
    <s v="captured"/>
    <n v="82"/>
    <s v="Merchant_035"/>
    <s v="recharge"/>
    <s v="East"/>
    <n v="5.0000000000000001E-4"/>
    <x v="2"/>
  </r>
  <r>
    <s v="TXN100460"/>
    <n v="39"/>
    <x v="29"/>
    <d v="2026-01-02T16:02:00"/>
    <n v="149"/>
    <s v="Netbanking"/>
    <s v="captured"/>
    <n v="97"/>
    <s v="Merchant_004"/>
    <s v="ecommerce"/>
    <s v="East"/>
    <n v="0.01"/>
    <x v="22"/>
  </r>
  <r>
    <s v="TXN100461"/>
    <n v="323"/>
    <x v="19"/>
    <d v="2026-01-01T13:08:00"/>
    <n v="499"/>
    <s v="UPI"/>
    <s v="captured"/>
    <n v="8"/>
    <s v="Merchant_015"/>
    <s v="travel"/>
    <s v="North"/>
    <n v="2.0000000000000001E-4"/>
    <x v="9"/>
  </r>
  <r>
    <s v="TXN100462"/>
    <n v="112"/>
    <x v="11"/>
    <d v="2026-01-23T04:00:00"/>
    <n v="49"/>
    <s v="Netbanking"/>
    <s v="captured"/>
    <n v="58"/>
    <s v="Merchant_033"/>
    <s v="bill_payment"/>
    <s v="East"/>
    <n v="0.01"/>
    <x v="20"/>
  </r>
  <r>
    <s v="TXN100463"/>
    <n v="327"/>
    <x v="12"/>
    <d v="2026-01-12T01:39:00"/>
    <n v="99"/>
    <s v="UPI"/>
    <s v="captured"/>
    <n v="61"/>
    <s v="Merchant_040"/>
    <s v="entertainment"/>
    <s v="South"/>
    <n v="2.0000000000000001E-4"/>
    <x v="28"/>
  </r>
  <r>
    <s v="TXN100464"/>
    <n v="4"/>
    <x v="8"/>
    <d v="2026-01-22T15:01:00"/>
    <n v="299"/>
    <s v="UPI"/>
    <s v="captured"/>
    <n v="70"/>
    <s v="Merchant_035"/>
    <s v="recharge"/>
    <s v="East"/>
    <n v="2.0000000000000001E-4"/>
    <x v="13"/>
  </r>
  <r>
    <s v="TXN100465"/>
    <n v="272"/>
    <x v="7"/>
    <d v="2026-01-14T00:01:00"/>
    <n v="149"/>
    <s v="UPI"/>
    <s v="captured"/>
    <n v="68"/>
    <s v="Merchant_018"/>
    <s v="grocery"/>
    <s v="West"/>
    <n v="2.0000000000000001E-4"/>
    <x v="12"/>
  </r>
  <r>
    <s v="TXN100466"/>
    <n v="346"/>
    <x v="10"/>
    <d v="2026-01-10T00:32:00"/>
    <n v="499"/>
    <s v="UPI"/>
    <s v="captured"/>
    <n v="22"/>
    <s v="Merchant_028"/>
    <s v="ecommerce"/>
    <s v="South"/>
    <n v="2.0000000000000001E-4"/>
    <x v="27"/>
  </r>
  <r>
    <s v="TXN100467"/>
    <n v="77"/>
    <x v="0"/>
    <d v="2026-01-04T03:33:00"/>
    <n v="49"/>
    <s v="Wallet"/>
    <s v="captured"/>
    <n v="24"/>
    <s v="Merchant_016"/>
    <s v="bill_payment"/>
    <s v="West"/>
    <n v="5.0000000000000001E-4"/>
    <x v="1"/>
  </r>
  <r>
    <s v="TXN100468"/>
    <n v="182"/>
    <x v="7"/>
    <d v="2026-01-20T16:16:00"/>
    <n v="149"/>
    <s v="Card"/>
    <s v="captured"/>
    <n v="50"/>
    <s v="Merchant_018"/>
    <s v="grocery"/>
    <s v="West"/>
    <n v="1.4999999999999999E-2"/>
    <x v="26"/>
  </r>
  <r>
    <s v="TXN100469"/>
    <n v="236"/>
    <x v="21"/>
    <d v="2026-01-03T11:25:00"/>
    <n v="299"/>
    <s v="Card"/>
    <s v="captured"/>
    <n v="31"/>
    <s v="Merchant_037"/>
    <s v="entertainment"/>
    <s v="South"/>
    <n v="1.4999999999999999E-2"/>
    <x v="29"/>
  </r>
  <r>
    <s v="TXN100470"/>
    <n v="42"/>
    <x v="4"/>
    <d v="2026-01-23T07:19:00"/>
    <n v="49"/>
    <s v="UPI"/>
    <s v="captured"/>
    <n v="11"/>
    <s v="Merchant_003"/>
    <s v="grocery"/>
    <s v="East"/>
    <n v="2.0000000000000001E-4"/>
    <x v="20"/>
  </r>
  <r>
    <s v="TXN100471"/>
    <n v="283"/>
    <x v="20"/>
    <d v="2026-01-13T12:24:00"/>
    <n v="299"/>
    <s v="Netbanking"/>
    <s v="captured"/>
    <n v="7"/>
    <s v="Merchant_031"/>
    <s v="bill_payment"/>
    <s v="East"/>
    <n v="0.01"/>
    <x v="11"/>
  </r>
  <r>
    <s v="TXN100472"/>
    <n v="88"/>
    <x v="18"/>
    <d v="2026-01-21T00:44:00"/>
    <n v="49"/>
    <s v="UPI"/>
    <s v="captured"/>
    <n v="63"/>
    <s v="Merchant_006"/>
    <s v="food_delivery"/>
    <s v="South"/>
    <n v="2.0000000000000001E-4"/>
    <x v="8"/>
  </r>
  <r>
    <s v="TXN100473"/>
    <n v="170"/>
    <x v="21"/>
    <d v="2026-01-28T13:41:00"/>
    <n v="99"/>
    <s v="UPI"/>
    <s v="failed"/>
    <n v="12"/>
    <s v="Merchant_037"/>
    <s v="entertainment"/>
    <s v="South"/>
    <n v="2.0000000000000001E-4"/>
    <x v="19"/>
  </r>
  <r>
    <s v="TXN100474"/>
    <n v="22"/>
    <x v="19"/>
    <d v="2026-01-29T16:58:00"/>
    <n v="49"/>
    <s v="Netbanking"/>
    <s v="captured"/>
    <n v="27"/>
    <s v="Merchant_015"/>
    <s v="travel"/>
    <s v="North"/>
    <n v="0.01"/>
    <x v="0"/>
  </r>
  <r>
    <s v="TXN100475"/>
    <n v="291"/>
    <x v="20"/>
    <d v="2026-01-29T22:56:00"/>
    <n v="49"/>
    <s v="Netbanking"/>
    <s v="failed"/>
    <n v="34"/>
    <s v="Merchant_031"/>
    <s v="bill_payment"/>
    <s v="East"/>
    <n v="0.01"/>
    <x v="0"/>
  </r>
  <r>
    <s v="TXN100476"/>
    <n v="144"/>
    <x v="8"/>
    <d v="2026-01-02T02:43:00"/>
    <n v="1499"/>
    <s v="UPI"/>
    <s v="captured"/>
    <n v="72"/>
    <s v="Merchant_035"/>
    <s v="recharge"/>
    <s v="East"/>
    <n v="2.0000000000000001E-4"/>
    <x v="22"/>
  </r>
  <r>
    <s v="TXN100477"/>
    <n v="162"/>
    <x v="27"/>
    <d v="2026-01-22T01:11:00"/>
    <n v="299"/>
    <s v="Wallet"/>
    <s v="captured"/>
    <n v="26"/>
    <s v="Merchant_002"/>
    <s v="grocery"/>
    <s v="West"/>
    <n v="5.0000000000000001E-4"/>
    <x v="13"/>
  </r>
  <r>
    <s v="TXN100478"/>
    <n v="204"/>
    <x v="32"/>
    <d v="2026-01-19T04:48:00"/>
    <n v="49"/>
    <s v="UPI"/>
    <s v="captured"/>
    <n v="38"/>
    <s v="Merchant_005"/>
    <s v="recharge"/>
    <s v="South"/>
    <n v="2.0000000000000001E-4"/>
    <x v="23"/>
  </r>
  <r>
    <s v="TXN100479"/>
    <n v="291"/>
    <x v="14"/>
    <d v="2026-01-06T18:15:00"/>
    <n v="99"/>
    <s v="Wallet"/>
    <s v="captured"/>
    <n v="86"/>
    <s v="Merchant_025"/>
    <s v="travel"/>
    <s v="South"/>
    <n v="5.0000000000000001E-4"/>
    <x v="4"/>
  </r>
  <r>
    <s v="TXN100480"/>
    <n v="197"/>
    <x v="39"/>
    <d v="2026-01-29T17:21:00"/>
    <n v="49"/>
    <s v="Wallet"/>
    <s v="failed"/>
    <n v="88"/>
    <s v="Merchant_009"/>
    <s v="ecommerce"/>
    <s v="North"/>
    <n v="5.0000000000000001E-4"/>
    <x v="0"/>
  </r>
  <r>
    <s v="TXN100481"/>
    <n v="178"/>
    <x v="29"/>
    <d v="2026-01-24T02:32:00"/>
    <n v="1499"/>
    <s v="UPI"/>
    <s v="captured"/>
    <n v="12"/>
    <s v="Merchant_004"/>
    <s v="ecommerce"/>
    <s v="East"/>
    <n v="2.0000000000000001E-4"/>
    <x v="2"/>
  </r>
  <r>
    <s v="TXN100482"/>
    <n v="39"/>
    <x v="3"/>
    <d v="2026-01-14T07:53:00"/>
    <n v="799"/>
    <s v="Netbanking"/>
    <s v="captured"/>
    <n v="77"/>
    <s v="Merchant_022"/>
    <s v="travel"/>
    <s v="South"/>
    <n v="0.01"/>
    <x v="12"/>
  </r>
  <r>
    <s v="TXN100483"/>
    <n v="204"/>
    <x v="17"/>
    <d v="2026-01-25T19:38:00"/>
    <n v="299"/>
    <s v="Wallet"/>
    <s v="captured"/>
    <n v="3"/>
    <s v="Merchant_021"/>
    <s v="food_delivery"/>
    <s v="East"/>
    <n v="5.0000000000000001E-4"/>
    <x v="21"/>
  </r>
  <r>
    <s v="TXN100484"/>
    <n v="231"/>
    <x v="33"/>
    <d v="2026-01-21T08:50:00"/>
    <n v="299"/>
    <s v="UPI"/>
    <s v="captured"/>
    <n v="29"/>
    <s v="Merchant_032"/>
    <s v="food_delivery"/>
    <s v="West"/>
    <n v="2.0000000000000001E-4"/>
    <x v="8"/>
  </r>
  <r>
    <s v="TXN100485"/>
    <n v="222"/>
    <x v="9"/>
    <d v="2026-01-12T17:24:00"/>
    <n v="499"/>
    <s v="Wallet"/>
    <s v="failed"/>
    <n v="87"/>
    <s v="Merchant_012"/>
    <s v="ecommerce"/>
    <s v="East"/>
    <n v="5.0000000000000001E-4"/>
    <x v="28"/>
  </r>
  <r>
    <s v="TXN100486"/>
    <n v="44"/>
    <x v="12"/>
    <d v="2026-01-19T21:24:00"/>
    <n v="499"/>
    <s v="UPI"/>
    <s v="captured"/>
    <n v="37"/>
    <s v="Merchant_040"/>
    <s v="entertainment"/>
    <s v="South"/>
    <n v="2.0000000000000001E-4"/>
    <x v="23"/>
  </r>
  <r>
    <s v="TXN100487"/>
    <n v="38"/>
    <x v="18"/>
    <d v="2026-01-26T07:45:00"/>
    <n v="49"/>
    <s v="Wallet"/>
    <s v="captured"/>
    <n v="34"/>
    <s v="Merchant_006"/>
    <s v="food_delivery"/>
    <s v="South"/>
    <n v="5.0000000000000001E-4"/>
    <x v="16"/>
  </r>
  <r>
    <s v="TXN100488"/>
    <n v="325"/>
    <x v="34"/>
    <d v="2026-01-05T12:45:00"/>
    <n v="49"/>
    <s v="Netbanking"/>
    <s v="chargeback"/>
    <n v="94"/>
    <s v="Merchant_010"/>
    <s v="grocery"/>
    <s v="West"/>
    <n v="0.01"/>
    <x v="14"/>
  </r>
  <r>
    <s v="TXN100489"/>
    <n v="55"/>
    <x v="18"/>
    <d v="2026-01-13T10:23:00"/>
    <n v="1499"/>
    <s v="Card"/>
    <s v="captured"/>
    <n v="0"/>
    <s v="Merchant_006"/>
    <s v="food_delivery"/>
    <s v="South"/>
    <n v="1.4999999999999999E-2"/>
    <x v="11"/>
  </r>
  <r>
    <s v="TXN100490"/>
    <n v="139"/>
    <x v="23"/>
    <d v="2026-01-10T14:23:00"/>
    <n v="499"/>
    <s v="Card"/>
    <s v="captured"/>
    <n v="16"/>
    <s v="Merchant_007"/>
    <s v="food_delivery"/>
    <s v="East"/>
    <n v="1.4999999999999999E-2"/>
    <x v="27"/>
  </r>
  <r>
    <s v="TXN100491"/>
    <n v="230"/>
    <x v="25"/>
    <d v="2026-01-03T05:27:00"/>
    <n v="99"/>
    <s v="Wallet"/>
    <s v="captured"/>
    <n v="71"/>
    <s v="Merchant_036"/>
    <s v="entertainment"/>
    <s v="East"/>
    <n v="5.0000000000000001E-4"/>
    <x v="29"/>
  </r>
  <r>
    <s v="TXN100492"/>
    <n v="14"/>
    <x v="18"/>
    <d v="2026-01-17T13:06:00"/>
    <n v="799"/>
    <s v="Card"/>
    <s v="captured"/>
    <n v="45"/>
    <s v="Merchant_006"/>
    <s v="food_delivery"/>
    <s v="South"/>
    <n v="1.4999999999999999E-2"/>
    <x v="18"/>
  </r>
  <r>
    <s v="TXN100493"/>
    <n v="307"/>
    <x v="17"/>
    <d v="2026-01-18T02:38:00"/>
    <n v="799"/>
    <s v="UPI"/>
    <s v="captured"/>
    <n v="49"/>
    <s v="Merchant_021"/>
    <s v="food_delivery"/>
    <s v="East"/>
    <n v="2.0000000000000001E-4"/>
    <x v="15"/>
  </r>
  <r>
    <s v="TXN100494"/>
    <n v="199"/>
    <x v="18"/>
    <d v="2026-01-01T09:26:00"/>
    <n v="49"/>
    <s v="UPI"/>
    <s v="captured"/>
    <n v="92"/>
    <s v="Merchant_006"/>
    <s v="food_delivery"/>
    <s v="South"/>
    <n v="2.0000000000000001E-4"/>
    <x v="9"/>
  </r>
  <r>
    <s v="TXN100495"/>
    <n v="125"/>
    <x v="21"/>
    <d v="2026-01-29T17:57:00"/>
    <n v="149"/>
    <s v="Wallet"/>
    <s v="captured"/>
    <n v="66"/>
    <s v="Merchant_037"/>
    <s v="entertainment"/>
    <s v="South"/>
    <n v="5.0000000000000001E-4"/>
    <x v="0"/>
  </r>
  <r>
    <s v="TXN100496"/>
    <n v="87"/>
    <x v="39"/>
    <d v="2026-01-06T21:24:00"/>
    <n v="149"/>
    <s v="UPI"/>
    <s v="captured"/>
    <n v="34"/>
    <s v="Merchant_009"/>
    <s v="ecommerce"/>
    <s v="North"/>
    <n v="2.0000000000000001E-4"/>
    <x v="4"/>
  </r>
  <r>
    <s v="TXN100497"/>
    <n v="75"/>
    <x v="32"/>
    <d v="2026-01-10T08:31:00"/>
    <n v="99"/>
    <s v="UPI"/>
    <s v="captured"/>
    <n v="21"/>
    <s v="Merchant_005"/>
    <s v="recharge"/>
    <s v="South"/>
    <n v="2.0000000000000001E-4"/>
    <x v="27"/>
  </r>
  <r>
    <s v="TXN100498"/>
    <n v="154"/>
    <x v="20"/>
    <d v="2026-01-14T08:26:00"/>
    <n v="499"/>
    <s v="Wallet"/>
    <s v="captured"/>
    <n v="100"/>
    <s v="Merchant_031"/>
    <s v="bill_payment"/>
    <s v="East"/>
    <n v="5.0000000000000001E-4"/>
    <x v="12"/>
  </r>
  <r>
    <s v="TXN100499"/>
    <n v="127"/>
    <x v="33"/>
    <d v="2026-01-03T11:16:00"/>
    <n v="149"/>
    <s v="Card"/>
    <s v="captured"/>
    <n v="76"/>
    <s v="Merchant_032"/>
    <s v="food_delivery"/>
    <s v="West"/>
    <n v="1.4999999999999999E-2"/>
    <x v="29"/>
  </r>
  <r>
    <s v="TXN200000"/>
    <n v="351"/>
    <x v="23"/>
    <d v="2026-01-30T06:00:00"/>
    <n v="1999"/>
    <s v="Card"/>
    <s v="chargeback"/>
    <n v="79"/>
    <s v="Merchant_007"/>
    <s v="food_delivery"/>
    <s v="East"/>
    <n v="1.4999999999999999E-2"/>
    <x v="3"/>
  </r>
  <r>
    <s v="TXN200001"/>
    <n v="352"/>
    <x v="12"/>
    <d v="2026-01-11T12:00:00"/>
    <n v="4999"/>
    <s v="Card"/>
    <s v="chargeback"/>
    <n v="95"/>
    <s v="Merchant_040"/>
    <s v="entertainment"/>
    <s v="South"/>
    <n v="1.4999999999999999E-2"/>
    <x v="7"/>
  </r>
  <r>
    <s v="TXN200002"/>
    <n v="353"/>
    <x v="10"/>
    <d v="2026-01-21T14:00:00"/>
    <n v="1999"/>
    <s v="Card"/>
    <s v="chargeback"/>
    <n v="79"/>
    <s v="Merchant_028"/>
    <s v="ecommerce"/>
    <s v="South"/>
    <n v="1.4999999999999999E-2"/>
    <x v="8"/>
  </r>
  <r>
    <s v="TXN200003"/>
    <n v="354"/>
    <x v="6"/>
    <d v="2026-01-21T19:00:00"/>
    <n v="4999"/>
    <s v="Card"/>
    <s v="chargeback"/>
    <n v="80"/>
    <s v="Merchant_013"/>
    <s v="travel"/>
    <s v="East"/>
    <n v="1.4999999999999999E-2"/>
    <x v="8"/>
  </r>
  <r>
    <s v="TXN200004"/>
    <n v="355"/>
    <x v="13"/>
    <d v="2026-01-16T12:00:00"/>
    <n v="4999"/>
    <s v="Card"/>
    <s v="chargeback"/>
    <n v="100"/>
    <s v="Merchant_019"/>
    <s v="grocery"/>
    <s v="North"/>
    <n v="1.4999999999999999E-2"/>
    <x v="24"/>
  </r>
  <r>
    <s v="TXN200005"/>
    <n v="356"/>
    <x v="14"/>
    <d v="2026-01-29T07:00:00"/>
    <n v="2999"/>
    <s v="Card"/>
    <s v="chargeback"/>
    <n v="96"/>
    <s v="Merchant_025"/>
    <s v="travel"/>
    <s v="South"/>
    <n v="1.4999999999999999E-2"/>
    <x v="0"/>
  </r>
  <r>
    <s v="TXN200006"/>
    <n v="357"/>
    <x v="21"/>
    <d v="2026-01-23T11:00:00"/>
    <n v="1999"/>
    <s v="Card"/>
    <s v="chargeback"/>
    <n v="88"/>
    <s v="Merchant_037"/>
    <s v="entertainment"/>
    <s v="South"/>
    <n v="1.4999999999999999E-2"/>
    <x v="20"/>
  </r>
  <r>
    <s v="TXN200007"/>
    <n v="358"/>
    <x v="25"/>
    <d v="2026-01-28T05:00:00"/>
    <n v="999"/>
    <s v="Card"/>
    <s v="chargeback"/>
    <n v="100"/>
    <s v="Merchant_036"/>
    <s v="entertainment"/>
    <s v="East"/>
    <n v="1.4999999999999999E-2"/>
    <x v="19"/>
  </r>
  <r>
    <s v="TXN200008"/>
    <n v="359"/>
    <x v="26"/>
    <d v="2026-01-25T22:00:00"/>
    <n v="2999"/>
    <s v="Card"/>
    <s v="chargeback"/>
    <n v="96"/>
    <s v="Merchant_029"/>
    <s v="ecommerce"/>
    <s v="North"/>
    <n v="1.4999999999999999E-2"/>
    <x v="21"/>
  </r>
  <r>
    <s v="TXN200009"/>
    <n v="360"/>
    <x v="33"/>
    <d v="2026-01-13T13:00:00"/>
    <n v="1999"/>
    <s v="Card"/>
    <s v="chargeback"/>
    <n v="90"/>
    <s v="Merchant_032"/>
    <s v="food_delivery"/>
    <s v="West"/>
    <n v="1.4999999999999999E-2"/>
    <x v="11"/>
  </r>
  <r>
    <s v="TXN200010"/>
    <n v="361"/>
    <x v="34"/>
    <d v="2026-01-20T07:00:00"/>
    <n v="4999"/>
    <s v="Card"/>
    <s v="chargeback"/>
    <n v="95"/>
    <s v="Merchant_010"/>
    <s v="grocery"/>
    <s v="West"/>
    <n v="1.4999999999999999E-2"/>
    <x v="26"/>
  </r>
  <r>
    <s v="TXN200011"/>
    <n v="362"/>
    <x v="38"/>
    <d v="2026-01-23T02:00:00"/>
    <n v="4999"/>
    <s v="Card"/>
    <s v="chargeback"/>
    <n v="88"/>
    <s v="Merchant_039"/>
    <s v="entertainment"/>
    <s v="North"/>
    <n v="1.4999999999999999E-2"/>
    <x v="20"/>
  </r>
  <r>
    <s v="TXN200012"/>
    <n v="363"/>
    <x v="1"/>
    <d v="2026-01-23T17:00:00"/>
    <n v="999"/>
    <s v="Card"/>
    <s v="chargeback"/>
    <n v="95"/>
    <s v="Merchant_027"/>
    <s v="ecommerce"/>
    <s v="North"/>
    <n v="1.4999999999999999E-2"/>
    <x v="20"/>
  </r>
  <r>
    <s v="TXN200013"/>
    <n v="364"/>
    <x v="38"/>
    <d v="2026-01-22T22:00:00"/>
    <n v="999"/>
    <s v="Card"/>
    <s v="chargeback"/>
    <n v="73"/>
    <s v="Merchant_039"/>
    <s v="entertainment"/>
    <s v="North"/>
    <n v="1.4999999999999999E-2"/>
    <x v="13"/>
  </r>
  <r>
    <s v="TXN200014"/>
    <n v="365"/>
    <x v="5"/>
    <d v="2026-01-18T21:00:00"/>
    <n v="1999"/>
    <s v="Card"/>
    <s v="chargeback"/>
    <n v="90"/>
    <s v="Merchant_023"/>
    <s v="travel"/>
    <s v="North"/>
    <n v="1.4999999999999999E-2"/>
    <x v="15"/>
  </r>
  <r>
    <s v="TXN300000"/>
    <n v="314"/>
    <x v="22"/>
    <d v="2026-01-02T18:00:00"/>
    <n v="399"/>
    <s v="Card"/>
    <s v="failed"/>
    <n v="87"/>
    <s v="Merchant_026"/>
    <s v="food_delivery"/>
    <s v="East"/>
    <n v="1.4999999999999999E-2"/>
    <x v="22"/>
  </r>
  <r>
    <s v="TXN300001"/>
    <n v="314"/>
    <x v="23"/>
    <d v="2026-01-02T18:01:00"/>
    <n v="299"/>
    <s v="Card"/>
    <s v="failed"/>
    <n v="66"/>
    <s v="Merchant_007"/>
    <s v="food_delivery"/>
    <s v="East"/>
    <n v="1.4999999999999999E-2"/>
    <x v="22"/>
  </r>
  <r>
    <s v="TXN300002"/>
    <n v="314"/>
    <x v="28"/>
    <d v="2026-01-02T18:02:00"/>
    <n v="299"/>
    <s v="Card"/>
    <s v="failed"/>
    <n v="92"/>
    <s v="Merchant_017"/>
    <s v="grocery"/>
    <s v="North"/>
    <n v="1.4999999999999999E-2"/>
    <x v="22"/>
  </r>
  <r>
    <s v="TXN300003"/>
    <n v="314"/>
    <x v="36"/>
    <d v="2026-01-02T18:03:00"/>
    <n v="499"/>
    <s v="Card"/>
    <s v="captured"/>
    <n v="74"/>
    <s v="Merchant_034"/>
    <s v="travel"/>
    <s v="South"/>
    <n v="1.4999999999999999E-2"/>
    <x v="22"/>
  </r>
  <r>
    <s v="TXN300004"/>
    <n v="229"/>
    <x v="24"/>
    <d v="2026-01-12T12:00:00"/>
    <n v="499"/>
    <s v="Card"/>
    <s v="failed"/>
    <n v="92"/>
    <s v="Merchant_030"/>
    <s v="travel"/>
    <s v="West"/>
    <n v="1.4999999999999999E-2"/>
    <x v="28"/>
  </r>
  <r>
    <s v="TXN300005"/>
    <n v="229"/>
    <x v="34"/>
    <d v="2026-01-12T12:01:00"/>
    <n v="399"/>
    <s v="Card"/>
    <s v="failed"/>
    <n v="61"/>
    <s v="Merchant_010"/>
    <s v="grocery"/>
    <s v="West"/>
    <n v="1.4999999999999999E-2"/>
    <x v="28"/>
  </r>
  <r>
    <s v="TXN300006"/>
    <n v="229"/>
    <x v="20"/>
    <d v="2026-01-12T12:02:00"/>
    <n v="299"/>
    <s v="Card"/>
    <s v="failed"/>
    <n v="78"/>
    <s v="Merchant_031"/>
    <s v="bill_payment"/>
    <s v="East"/>
    <n v="1.4999999999999999E-2"/>
    <x v="28"/>
  </r>
  <r>
    <s v="TXN300007"/>
    <n v="229"/>
    <x v="1"/>
    <d v="2026-01-12T12:03:00"/>
    <n v="299"/>
    <s v="Card"/>
    <s v="captured"/>
    <n v="67"/>
    <s v="Merchant_027"/>
    <s v="ecommerce"/>
    <s v="North"/>
    <n v="1.4999999999999999E-2"/>
    <x v="28"/>
  </r>
  <r>
    <s v="TXN300008"/>
    <n v="73"/>
    <x v="3"/>
    <d v="2026-01-12T09:00:00"/>
    <n v="399"/>
    <s v="Card"/>
    <s v="failed"/>
    <n v="73"/>
    <s v="Merchant_022"/>
    <s v="travel"/>
    <s v="South"/>
    <n v="1.4999999999999999E-2"/>
    <x v="28"/>
  </r>
  <r>
    <s v="TXN300009"/>
    <n v="73"/>
    <x v="36"/>
    <d v="2026-01-12T09:01:00"/>
    <n v="399"/>
    <s v="Card"/>
    <s v="failed"/>
    <n v="82"/>
    <s v="Merchant_034"/>
    <s v="travel"/>
    <s v="South"/>
    <n v="1.4999999999999999E-2"/>
    <x v="28"/>
  </r>
  <r>
    <s v="TXN300010"/>
    <n v="73"/>
    <x v="20"/>
    <d v="2026-01-12T09:02:00"/>
    <n v="299"/>
    <s v="Card"/>
    <s v="failed"/>
    <n v="88"/>
    <s v="Merchant_031"/>
    <s v="bill_payment"/>
    <s v="East"/>
    <n v="1.4999999999999999E-2"/>
    <x v="28"/>
  </r>
  <r>
    <s v="TXN300011"/>
    <n v="73"/>
    <x v="26"/>
    <d v="2026-01-12T09:03:00"/>
    <n v="399"/>
    <s v="Card"/>
    <s v="captured"/>
    <n v="64"/>
    <s v="Merchant_029"/>
    <s v="ecommerce"/>
    <s v="North"/>
    <n v="1.4999999999999999E-2"/>
    <x v="28"/>
  </r>
  <r>
    <s v="TXN300012"/>
    <n v="154"/>
    <x v="30"/>
    <d v="2026-01-02T22:00:00"/>
    <n v="299"/>
    <s v="Card"/>
    <s v="failed"/>
    <n v="81"/>
    <s v="Merchant_008"/>
    <s v="food_delivery"/>
    <s v="North"/>
    <n v="1.4999999999999999E-2"/>
    <x v="22"/>
  </r>
  <r>
    <s v="TXN300013"/>
    <n v="154"/>
    <x v="23"/>
    <d v="2026-01-02T22:01:00"/>
    <n v="499"/>
    <s v="Card"/>
    <s v="failed"/>
    <n v="70"/>
    <s v="Merchant_007"/>
    <s v="food_delivery"/>
    <s v="East"/>
    <n v="1.4999999999999999E-2"/>
    <x v="22"/>
  </r>
  <r>
    <s v="TXN300014"/>
    <n v="154"/>
    <x v="0"/>
    <d v="2026-01-02T22:02:00"/>
    <n v="499"/>
    <s v="Card"/>
    <s v="failed"/>
    <n v="71"/>
    <s v="Merchant_016"/>
    <s v="bill_payment"/>
    <s v="West"/>
    <n v="1.4999999999999999E-2"/>
    <x v="22"/>
  </r>
  <r>
    <s v="TXN300015"/>
    <n v="154"/>
    <x v="25"/>
    <d v="2026-01-02T22:03:00"/>
    <n v="299"/>
    <s v="Card"/>
    <s v="captured"/>
    <n v="81"/>
    <s v="Merchant_036"/>
    <s v="entertainment"/>
    <s v="East"/>
    <n v="1.4999999999999999E-2"/>
    <x v="22"/>
  </r>
  <r>
    <s v="TXN300016"/>
    <n v="287"/>
    <x v="19"/>
    <d v="2026-01-14T14:00:00"/>
    <n v="399"/>
    <s v="Card"/>
    <s v="failed"/>
    <n v="71"/>
    <s v="Merchant_015"/>
    <s v="travel"/>
    <s v="North"/>
    <n v="1.4999999999999999E-2"/>
    <x v="12"/>
  </r>
  <r>
    <s v="TXN300017"/>
    <n v="287"/>
    <x v="9"/>
    <d v="2026-01-14T14:01:00"/>
    <n v="499"/>
    <s v="Card"/>
    <s v="failed"/>
    <n v="87"/>
    <s v="Merchant_012"/>
    <s v="ecommerce"/>
    <s v="East"/>
    <n v="1.4999999999999999E-2"/>
    <x v="12"/>
  </r>
  <r>
    <s v="TXN300018"/>
    <n v="287"/>
    <x v="22"/>
    <d v="2026-01-14T14:02:00"/>
    <n v="299"/>
    <s v="Card"/>
    <s v="failed"/>
    <n v="72"/>
    <s v="Merchant_026"/>
    <s v="food_delivery"/>
    <s v="East"/>
    <n v="1.4999999999999999E-2"/>
    <x v="12"/>
  </r>
  <r>
    <s v="TXN300019"/>
    <n v="287"/>
    <x v="26"/>
    <d v="2026-01-14T14:03:00"/>
    <n v="499"/>
    <s v="Card"/>
    <s v="captured"/>
    <n v="87"/>
    <s v="Merchant_029"/>
    <s v="ecommerce"/>
    <s v="North"/>
    <n v="1.4999999999999999E-2"/>
    <x v="12"/>
  </r>
  <r>
    <s v="TXN300020"/>
    <n v="200"/>
    <x v="16"/>
    <d v="2026-01-01T22:00:00"/>
    <n v="299"/>
    <s v="Card"/>
    <s v="failed"/>
    <n v="77"/>
    <s v="Merchant_014"/>
    <s v="grocery"/>
    <s v="East"/>
    <n v="1.4999999999999999E-2"/>
    <x v="9"/>
  </r>
  <r>
    <s v="TXN300021"/>
    <n v="200"/>
    <x v="32"/>
    <d v="2026-01-01T22:01:00"/>
    <n v="499"/>
    <s v="Card"/>
    <s v="failed"/>
    <n v="66"/>
    <s v="Merchant_005"/>
    <s v="recharge"/>
    <s v="South"/>
    <n v="1.4999999999999999E-2"/>
    <x v="9"/>
  </r>
  <r>
    <s v="TXN300022"/>
    <n v="200"/>
    <x v="8"/>
    <d v="2026-01-01T22:02:00"/>
    <n v="299"/>
    <s v="Card"/>
    <s v="failed"/>
    <n v="83"/>
    <s v="Merchant_035"/>
    <s v="recharge"/>
    <s v="East"/>
    <n v="1.4999999999999999E-2"/>
    <x v="9"/>
  </r>
  <r>
    <s v="TXN300023"/>
    <n v="200"/>
    <x v="17"/>
    <d v="2026-01-01T22:03:00"/>
    <n v="299"/>
    <s v="Card"/>
    <s v="captured"/>
    <n v="89"/>
    <s v="Merchant_021"/>
    <s v="food_delivery"/>
    <s v="East"/>
    <n v="1.4999999999999999E-2"/>
    <x v="9"/>
  </r>
  <r>
    <s v="TXN300024"/>
    <n v="59"/>
    <x v="33"/>
    <d v="2026-01-09T21:00:00"/>
    <n v="499"/>
    <s v="Card"/>
    <s v="failed"/>
    <n v="80"/>
    <s v="Merchant_032"/>
    <s v="food_delivery"/>
    <s v="West"/>
    <n v="1.4999999999999999E-2"/>
    <x v="10"/>
  </r>
  <r>
    <s v="TXN300025"/>
    <n v="59"/>
    <x v="38"/>
    <d v="2026-01-09T21:01:00"/>
    <n v="399"/>
    <s v="Card"/>
    <s v="failed"/>
    <n v="85"/>
    <s v="Merchant_039"/>
    <s v="entertainment"/>
    <s v="North"/>
    <n v="1.4999999999999999E-2"/>
    <x v="10"/>
  </r>
  <r>
    <s v="TXN300026"/>
    <n v="59"/>
    <x v="35"/>
    <d v="2026-01-09T21:02:00"/>
    <n v="299"/>
    <s v="Card"/>
    <s v="failed"/>
    <n v="82"/>
    <s v="Merchant_038"/>
    <s v="grocery"/>
    <s v="East"/>
    <n v="1.4999999999999999E-2"/>
    <x v="10"/>
  </r>
  <r>
    <s v="TXN300027"/>
    <n v="59"/>
    <x v="5"/>
    <d v="2026-01-09T21:03:00"/>
    <n v="399"/>
    <s v="Card"/>
    <s v="captured"/>
    <n v="71"/>
    <s v="Merchant_023"/>
    <s v="travel"/>
    <s v="North"/>
    <n v="1.4999999999999999E-2"/>
    <x v="10"/>
  </r>
  <r>
    <s v="TXN300028"/>
    <n v="345"/>
    <x v="12"/>
    <d v="2026-01-23T09:00:00"/>
    <n v="499"/>
    <s v="Card"/>
    <s v="failed"/>
    <n v="65"/>
    <s v="Merchant_040"/>
    <s v="entertainment"/>
    <s v="South"/>
    <n v="1.4999999999999999E-2"/>
    <x v="20"/>
  </r>
  <r>
    <s v="TXN300029"/>
    <n v="345"/>
    <x v="39"/>
    <d v="2026-01-23T09:01:00"/>
    <n v="399"/>
    <s v="Card"/>
    <s v="failed"/>
    <n v="67"/>
    <s v="Merchant_009"/>
    <s v="ecommerce"/>
    <s v="North"/>
    <n v="1.4999999999999999E-2"/>
    <x v="20"/>
  </r>
  <r>
    <s v="TXN300030"/>
    <n v="345"/>
    <x v="0"/>
    <d v="2026-01-23T09:02:00"/>
    <n v="399"/>
    <s v="Card"/>
    <s v="failed"/>
    <n v="67"/>
    <s v="Merchant_016"/>
    <s v="bill_payment"/>
    <s v="West"/>
    <n v="1.4999999999999999E-2"/>
    <x v="20"/>
  </r>
  <r>
    <s v="TXN300031"/>
    <n v="345"/>
    <x v="9"/>
    <d v="2026-01-23T09:03:00"/>
    <n v="399"/>
    <s v="Card"/>
    <s v="captured"/>
    <n v="69"/>
    <s v="Merchant_012"/>
    <s v="ecommerce"/>
    <s v="East"/>
    <n v="1.4999999999999999E-2"/>
    <x v="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">
  <r>
    <s v="TXN100000"/>
    <n v="350"/>
    <x v="0"/>
    <d v="2026-01-29T11:13:00"/>
    <n v="2999"/>
    <s v="Wallet"/>
    <x v="0"/>
    <n v="85"/>
    <s v="Merchant_016"/>
    <s v="bill_payment"/>
    <s v="West"/>
    <n v="5.0000000000000001E-4"/>
    <d v="2026-01-29T00:00:00"/>
    <n v="2999"/>
    <s v="Normal Merchant Day"/>
  </r>
  <r>
    <s v="TXN100001"/>
    <n v="287"/>
    <x v="1"/>
    <d v="2026-01-04T11:49:00"/>
    <n v="49"/>
    <s v="UPI"/>
    <x v="0"/>
    <n v="79"/>
    <s v="Merchant_027"/>
    <s v="ecommerce"/>
    <s v="North"/>
    <n v="2.0000000000000001E-4"/>
    <d v="2026-01-04T00:00:00"/>
    <n v="49"/>
    <s v="Normal Merchant Day"/>
  </r>
  <r>
    <s v="TXN100002"/>
    <n v="122"/>
    <x v="2"/>
    <d v="2026-01-24T04:59:00"/>
    <n v="1499"/>
    <s v="Wallet"/>
    <x v="0"/>
    <n v="22"/>
    <s v="Merchant_011"/>
    <s v="ecommerce"/>
    <s v="North"/>
    <n v="5.0000000000000001E-4"/>
    <d v="2026-01-24T00:00:00"/>
    <n v="1798"/>
    <s v="Normal Merchant Day"/>
  </r>
  <r>
    <s v="TXN100003"/>
    <n v="92"/>
    <x v="3"/>
    <d v="2026-01-29T13:01:00"/>
    <n v="49"/>
    <s v="Netbanking"/>
    <x v="0"/>
    <n v="100"/>
    <s v="Merchant_022"/>
    <s v="travel"/>
    <s v="South"/>
    <n v="0.01"/>
    <d v="2026-01-29T00:00:00"/>
    <n v="49"/>
    <s v="Normal Merchant Day"/>
  </r>
  <r>
    <s v="TXN100004"/>
    <n v="343"/>
    <x v="0"/>
    <d v="2026-01-30T13:51:00"/>
    <n v="99"/>
    <s v="UPI"/>
    <x v="0"/>
    <n v="34"/>
    <s v="Merchant_016"/>
    <s v="bill_payment"/>
    <s v="West"/>
    <n v="2.0000000000000001E-4"/>
    <d v="2026-01-30T00:00:00"/>
    <n v="898"/>
    <s v="Normal Merchant Day"/>
  </r>
  <r>
    <s v="TXN100005"/>
    <n v="196"/>
    <x v="4"/>
    <d v="2026-01-06T22:06:00"/>
    <n v="99"/>
    <s v="UPI"/>
    <x v="0"/>
    <n v="60"/>
    <s v="Merchant_003"/>
    <s v="grocery"/>
    <s v="East"/>
    <n v="2.0000000000000001E-4"/>
    <d v="2026-01-06T00:00:00"/>
    <n v="898"/>
    <s v="Normal Merchant Day"/>
  </r>
  <r>
    <s v="TXN100006"/>
    <n v="236"/>
    <x v="5"/>
    <d v="2026-01-08T06:52:00"/>
    <n v="99"/>
    <s v="Wallet"/>
    <x v="0"/>
    <n v="39"/>
    <s v="Merchant_023"/>
    <s v="travel"/>
    <s v="North"/>
    <n v="5.0000000000000001E-4"/>
    <d v="2026-01-08T00:00:00"/>
    <n v="99"/>
    <s v="Normal Merchant Day"/>
  </r>
  <r>
    <s v="TXN100007"/>
    <n v="13"/>
    <x v="6"/>
    <d v="2026-01-27T07:14:00"/>
    <n v="99"/>
    <s v="UPI"/>
    <x v="0"/>
    <n v="51"/>
    <s v="Merchant_013"/>
    <s v="travel"/>
    <s v="East"/>
    <n v="2.0000000000000001E-4"/>
    <d v="2026-01-27T00:00:00"/>
    <n v="99"/>
    <s v="Normal Merchant Day"/>
  </r>
  <r>
    <s v="TXN100008"/>
    <n v="36"/>
    <x v="7"/>
    <d v="2026-01-11T08:55:00"/>
    <n v="799"/>
    <s v="UPI"/>
    <x v="0"/>
    <n v="44"/>
    <s v="Merchant_018"/>
    <s v="grocery"/>
    <s v="West"/>
    <n v="2.0000000000000001E-4"/>
    <d v="2026-01-11T00:00:00"/>
    <n v="799"/>
    <s v="Normal Merchant Day"/>
  </r>
  <r>
    <s v="TXN100009"/>
    <n v="348"/>
    <x v="8"/>
    <d v="2026-01-21T16:25:00"/>
    <n v="299"/>
    <s v="UPI"/>
    <x v="0"/>
    <n v="42"/>
    <s v="Merchant_035"/>
    <s v="recharge"/>
    <s v="East"/>
    <n v="2.0000000000000001E-4"/>
    <d v="2026-01-21T00:00:00"/>
    <n v="299"/>
    <s v="Normal Merchant Day"/>
  </r>
  <r>
    <s v="TXN100010"/>
    <n v="134"/>
    <x v="9"/>
    <d v="2026-01-01T03:56:00"/>
    <n v="49"/>
    <s v="UPI"/>
    <x v="0"/>
    <n v="74"/>
    <s v="Merchant_012"/>
    <s v="ecommerce"/>
    <s v="East"/>
    <n v="2.0000000000000001E-4"/>
    <d v="2026-01-01T00:00:00"/>
    <n v="548"/>
    <s v="Normal Merchant Day"/>
  </r>
  <r>
    <s v="TXN100011"/>
    <n v="306"/>
    <x v="10"/>
    <d v="2026-01-09T01:06:00"/>
    <n v="2999"/>
    <s v="Card"/>
    <x v="1"/>
    <n v="44"/>
    <s v="Merchant_028"/>
    <s v="ecommerce"/>
    <s v="South"/>
    <n v="1.4999999999999999E-2"/>
    <d v="2026-01-09T00:00:00"/>
    <n v="2999"/>
    <s v="Normal Merchant Day"/>
  </r>
  <r>
    <s v="TXN100012"/>
    <n v="311"/>
    <x v="11"/>
    <d v="2026-01-24T10:27:00"/>
    <n v="49"/>
    <s v="Wallet"/>
    <x v="0"/>
    <n v="14"/>
    <s v="Merchant_033"/>
    <s v="bill_payment"/>
    <s v="East"/>
    <n v="5.0000000000000001E-4"/>
    <d v="2026-01-24T00:00:00"/>
    <n v="49"/>
    <s v="Normal Merchant Day"/>
  </r>
  <r>
    <s v="TXN100013"/>
    <n v="131"/>
    <x v="4"/>
    <d v="2026-01-13T18:12:00"/>
    <n v="49"/>
    <s v="UPI"/>
    <x v="0"/>
    <n v="90"/>
    <s v="Merchant_003"/>
    <s v="grocery"/>
    <s v="East"/>
    <n v="2.0000000000000001E-4"/>
    <d v="2026-01-13T00:00:00"/>
    <n v="198"/>
    <s v="Normal Merchant Day"/>
  </r>
  <r>
    <s v="TXN100014"/>
    <n v="276"/>
    <x v="6"/>
    <d v="2026-01-14T00:33:00"/>
    <n v="1499"/>
    <s v="UPI"/>
    <x v="0"/>
    <n v="46"/>
    <s v="Merchant_013"/>
    <s v="travel"/>
    <s v="East"/>
    <n v="2.0000000000000001E-4"/>
    <d v="2026-01-14T00:00:00"/>
    <n v="1499"/>
    <s v="Normal Merchant Day"/>
  </r>
  <r>
    <s v="TXN100015"/>
    <n v="170"/>
    <x v="12"/>
    <d v="2026-01-14T02:42:00"/>
    <n v="99"/>
    <s v="UPI"/>
    <x v="0"/>
    <n v="40"/>
    <s v="Merchant_040"/>
    <s v="entertainment"/>
    <s v="South"/>
    <n v="2.0000000000000001E-4"/>
    <d v="2026-01-14T00:00:00"/>
    <n v="99"/>
    <s v="Normal Merchant Day"/>
  </r>
  <r>
    <s v="TXN100016"/>
    <n v="154"/>
    <x v="11"/>
    <d v="2026-01-22T03:46:00"/>
    <n v="99"/>
    <s v="Netbanking"/>
    <x v="0"/>
    <n v="39"/>
    <s v="Merchant_033"/>
    <s v="bill_payment"/>
    <s v="East"/>
    <n v="0.01"/>
    <d v="2026-01-22T00:00:00"/>
    <n v="99"/>
    <s v="Normal Merchant Day"/>
  </r>
  <r>
    <s v="TXN100017"/>
    <n v="207"/>
    <x v="13"/>
    <d v="2026-01-22T13:20:00"/>
    <n v="2999"/>
    <s v="Card"/>
    <x v="0"/>
    <n v="70"/>
    <s v="Merchant_019"/>
    <s v="grocery"/>
    <s v="North"/>
    <n v="1.4999999999999999E-2"/>
    <d v="2026-01-22T00:00:00"/>
    <n v="2999"/>
    <s v="Normal Merchant Day"/>
  </r>
  <r>
    <s v="TXN100018"/>
    <n v="341"/>
    <x v="14"/>
    <d v="2026-01-05T06:26:00"/>
    <n v="2999"/>
    <s v="UPI"/>
    <x v="0"/>
    <n v="86"/>
    <s v="Merchant_025"/>
    <s v="travel"/>
    <s v="South"/>
    <n v="2.0000000000000001E-4"/>
    <d v="2026-01-05T00:00:00"/>
    <n v="4498"/>
    <s v="Normal Merchant Day"/>
  </r>
  <r>
    <s v="TXN100019"/>
    <n v="292"/>
    <x v="15"/>
    <d v="2026-01-24T05:39:00"/>
    <n v="49"/>
    <s v="UPI"/>
    <x v="0"/>
    <n v="51"/>
    <s v="Merchant_020"/>
    <s v="food_delivery"/>
    <s v="East"/>
    <n v="2.0000000000000001E-4"/>
    <d v="2026-01-24T00:00:00"/>
    <n v="49"/>
    <s v="Normal Merchant Day"/>
  </r>
  <r>
    <s v="TXN100020"/>
    <n v="147"/>
    <x v="16"/>
    <d v="2026-01-18T00:19:00"/>
    <n v="99"/>
    <s v="Card"/>
    <x v="0"/>
    <n v="55"/>
    <s v="Merchant_014"/>
    <s v="grocery"/>
    <s v="East"/>
    <n v="1.4999999999999999E-2"/>
    <d v="2026-01-18T00:00:00"/>
    <n v="99"/>
    <s v="Normal Merchant Day"/>
  </r>
  <r>
    <s v="TXN100021"/>
    <n v="336"/>
    <x v="17"/>
    <d v="2026-01-26T18:38:00"/>
    <n v="99"/>
    <s v="UPI"/>
    <x v="0"/>
    <n v="59"/>
    <s v="Merchant_021"/>
    <s v="food_delivery"/>
    <s v="East"/>
    <n v="2.0000000000000001E-4"/>
    <d v="2026-01-26T00:00:00"/>
    <n v="99"/>
    <s v="Normal Merchant Day"/>
  </r>
  <r>
    <s v="TXN100022"/>
    <n v="110"/>
    <x v="11"/>
    <d v="2026-01-15T14:43:00"/>
    <n v="799"/>
    <s v="UPI"/>
    <x v="0"/>
    <n v="60"/>
    <s v="Merchant_033"/>
    <s v="bill_payment"/>
    <s v="East"/>
    <n v="2.0000000000000001E-4"/>
    <d v="2026-01-15T00:00:00"/>
    <n v="799"/>
    <s v="Normal Merchant Day"/>
  </r>
  <r>
    <s v="TXN100023"/>
    <n v="338"/>
    <x v="18"/>
    <d v="2026-01-26T23:10:00"/>
    <n v="799"/>
    <s v="UPI"/>
    <x v="2"/>
    <n v="36"/>
    <s v="Merchant_006"/>
    <s v="food_delivery"/>
    <s v="South"/>
    <n v="2.0000000000000001E-4"/>
    <d v="2026-01-26T00:00:00"/>
    <n v="897"/>
    <s v="Normal Merchant Day"/>
  </r>
  <r>
    <s v="TXN100024"/>
    <n v="318"/>
    <x v="3"/>
    <d v="2026-01-17T21:40:00"/>
    <n v="799"/>
    <s v="Wallet"/>
    <x v="0"/>
    <n v="11"/>
    <s v="Merchant_022"/>
    <s v="travel"/>
    <s v="South"/>
    <n v="5.0000000000000001E-4"/>
    <d v="2026-01-17T00:00:00"/>
    <n v="1598"/>
    <s v="Normal Merchant Day"/>
  </r>
  <r>
    <s v="TXN100025"/>
    <n v="159"/>
    <x v="19"/>
    <d v="2026-01-27T07:43:00"/>
    <n v="799"/>
    <s v="UPI"/>
    <x v="0"/>
    <n v="25"/>
    <s v="Merchant_015"/>
    <s v="travel"/>
    <s v="North"/>
    <n v="2.0000000000000001E-4"/>
    <d v="2026-01-27T00:00:00"/>
    <n v="799"/>
    <s v="Normal Merchant Day"/>
  </r>
  <r>
    <s v="TXN100026"/>
    <n v="126"/>
    <x v="20"/>
    <d v="2026-01-05T00:02:00"/>
    <n v="49"/>
    <s v="Card"/>
    <x v="0"/>
    <n v="78"/>
    <s v="Merchant_031"/>
    <s v="bill_payment"/>
    <s v="East"/>
    <n v="1.4999999999999999E-2"/>
    <d v="2026-01-05T00:00:00"/>
    <n v="49"/>
    <s v="Normal Merchant Day"/>
  </r>
  <r>
    <s v="TXN100027"/>
    <n v="213"/>
    <x v="21"/>
    <d v="2026-01-28T02:29:00"/>
    <n v="99"/>
    <s v="UPI"/>
    <x v="0"/>
    <n v="24"/>
    <s v="Merchant_037"/>
    <s v="entertainment"/>
    <s v="South"/>
    <n v="2.0000000000000001E-4"/>
    <d v="2026-01-28T00:00:00"/>
    <n v="697"/>
    <s v="Normal Merchant Day"/>
  </r>
  <r>
    <s v="TXN100028"/>
    <n v="254"/>
    <x v="22"/>
    <d v="2026-01-23T22:24:00"/>
    <n v="99"/>
    <s v="Wallet"/>
    <x v="0"/>
    <n v="31"/>
    <s v="Merchant_026"/>
    <s v="food_delivery"/>
    <s v="East"/>
    <n v="5.0000000000000001E-4"/>
    <d v="2026-01-23T00:00:00"/>
    <n v="99"/>
    <s v="Normal Merchant Day"/>
  </r>
  <r>
    <s v="TXN100029"/>
    <n v="3"/>
    <x v="23"/>
    <d v="2026-01-05T20:44:00"/>
    <n v="1499"/>
    <s v="UPI"/>
    <x v="0"/>
    <n v="99"/>
    <s v="Merchant_007"/>
    <s v="food_delivery"/>
    <s v="East"/>
    <n v="2.0000000000000001E-4"/>
    <d v="2026-01-05T00:00:00"/>
    <n v="4498"/>
    <s v="Normal Merchant Day"/>
  </r>
  <r>
    <s v="TXN100030"/>
    <n v="266"/>
    <x v="24"/>
    <d v="2026-01-14T07:11:00"/>
    <n v="499"/>
    <s v="Card"/>
    <x v="0"/>
    <n v="6"/>
    <s v="Merchant_030"/>
    <s v="travel"/>
    <s v="West"/>
    <n v="1.4999999999999999E-2"/>
    <d v="2026-01-14T00:00:00"/>
    <n v="2497"/>
    <s v="Normal Merchant Day"/>
  </r>
  <r>
    <s v="TXN100031"/>
    <n v="63"/>
    <x v="24"/>
    <d v="2026-01-18T07:58:00"/>
    <n v="799"/>
    <s v="UPI"/>
    <x v="0"/>
    <n v="17"/>
    <s v="Merchant_030"/>
    <s v="travel"/>
    <s v="West"/>
    <n v="2.0000000000000001E-4"/>
    <d v="2026-01-18T00:00:00"/>
    <n v="799"/>
    <s v="Normal Merchant Day"/>
  </r>
  <r>
    <s v="TXN100032"/>
    <n v="272"/>
    <x v="25"/>
    <d v="2026-01-26T14:42:00"/>
    <n v="149"/>
    <s v="UPI"/>
    <x v="0"/>
    <n v="76"/>
    <s v="Merchant_036"/>
    <s v="entertainment"/>
    <s v="East"/>
    <n v="2.0000000000000001E-4"/>
    <d v="2026-01-26T00:00:00"/>
    <n v="198"/>
    <s v="Normal Merchant Day"/>
  </r>
  <r>
    <s v="TXN100033"/>
    <n v="259"/>
    <x v="10"/>
    <d v="2026-01-11T14:39:00"/>
    <n v="49"/>
    <s v="Wallet"/>
    <x v="0"/>
    <n v="70"/>
    <s v="Merchant_028"/>
    <s v="ecommerce"/>
    <s v="South"/>
    <n v="5.0000000000000001E-4"/>
    <d v="2026-01-11T00:00:00"/>
    <n v="49"/>
    <s v="Normal Merchant Day"/>
  </r>
  <r>
    <s v="TXN100034"/>
    <n v="244"/>
    <x v="26"/>
    <d v="2026-01-15T05:47:00"/>
    <n v="299"/>
    <s v="Netbanking"/>
    <x v="0"/>
    <n v="33"/>
    <s v="Merchant_029"/>
    <s v="ecommerce"/>
    <s v="North"/>
    <n v="0.01"/>
    <d v="2026-01-15T00:00:00"/>
    <n v="1098"/>
    <s v="Normal Merchant Day"/>
  </r>
  <r>
    <s v="TXN100035"/>
    <n v="327"/>
    <x v="7"/>
    <d v="2026-01-25T07:53:00"/>
    <n v="149"/>
    <s v="Card"/>
    <x v="0"/>
    <n v="98"/>
    <s v="Merchant_018"/>
    <s v="grocery"/>
    <s v="West"/>
    <n v="1.4999999999999999E-2"/>
    <d v="2026-01-25T00:00:00"/>
    <n v="1648"/>
    <s v="Normal Merchant Day"/>
  </r>
  <r>
    <s v="TXN100036"/>
    <n v="321"/>
    <x v="0"/>
    <d v="2026-01-25T16:31:00"/>
    <n v="49"/>
    <s v="UPI"/>
    <x v="0"/>
    <n v="35"/>
    <s v="Merchant_016"/>
    <s v="bill_payment"/>
    <s v="West"/>
    <n v="2.0000000000000001E-4"/>
    <d v="2026-01-25T00:00:00"/>
    <n v="98"/>
    <s v="Normal Merchant Day"/>
  </r>
  <r>
    <s v="TXN100037"/>
    <n v="147"/>
    <x v="0"/>
    <d v="2026-01-15T02:45:00"/>
    <n v="2999"/>
    <s v="Card"/>
    <x v="0"/>
    <n v="34"/>
    <s v="Merchant_016"/>
    <s v="bill_payment"/>
    <s v="West"/>
    <n v="1.4999999999999999E-2"/>
    <d v="2026-01-15T00:00:00"/>
    <n v="2999"/>
    <s v="Normal Merchant Day"/>
  </r>
  <r>
    <s v="TXN100038"/>
    <n v="277"/>
    <x v="18"/>
    <d v="2026-01-11T10:57:00"/>
    <n v="1499"/>
    <s v="Card"/>
    <x v="0"/>
    <n v="17"/>
    <s v="Merchant_006"/>
    <s v="food_delivery"/>
    <s v="South"/>
    <n v="1.4999999999999999E-2"/>
    <d v="2026-01-11T00:00:00"/>
    <n v="1499"/>
    <s v="Normal Merchant Day"/>
  </r>
  <r>
    <s v="TXN100039"/>
    <n v="79"/>
    <x v="16"/>
    <d v="2026-01-05T07:24:00"/>
    <n v="1499"/>
    <s v="UPI"/>
    <x v="0"/>
    <n v="8"/>
    <s v="Merchant_014"/>
    <s v="grocery"/>
    <s v="East"/>
    <n v="2.0000000000000001E-4"/>
    <d v="2026-01-05T00:00:00"/>
    <n v="1499"/>
    <s v="Normal Merchant Day"/>
  </r>
  <r>
    <s v="TXN100040"/>
    <n v="278"/>
    <x v="24"/>
    <d v="2026-01-14T13:21:00"/>
    <n v="1499"/>
    <s v="UPI"/>
    <x v="0"/>
    <n v="53"/>
    <s v="Merchant_030"/>
    <s v="travel"/>
    <s v="West"/>
    <n v="2.0000000000000001E-4"/>
    <d v="2026-01-14T00:00:00"/>
    <n v="2497"/>
    <s v="Normal Merchant Day"/>
  </r>
  <r>
    <s v="TXN100041"/>
    <n v="216"/>
    <x v="14"/>
    <d v="2026-01-02T06:53:00"/>
    <n v="99"/>
    <s v="UPI"/>
    <x v="0"/>
    <n v="98"/>
    <s v="Merchant_025"/>
    <s v="travel"/>
    <s v="South"/>
    <n v="2.0000000000000001E-4"/>
    <d v="2026-01-02T00:00:00"/>
    <n v="99"/>
    <s v="Normal Merchant Day"/>
  </r>
  <r>
    <s v="TXN100042"/>
    <n v="295"/>
    <x v="14"/>
    <d v="2026-01-19T22:01:00"/>
    <n v="1499"/>
    <s v="UPI"/>
    <x v="0"/>
    <n v="61"/>
    <s v="Merchant_025"/>
    <s v="travel"/>
    <s v="South"/>
    <n v="2.0000000000000001E-4"/>
    <d v="2026-01-19T00:00:00"/>
    <n v="4498"/>
    <s v="Normal Merchant Day"/>
  </r>
  <r>
    <s v="TXN100043"/>
    <n v="200"/>
    <x v="1"/>
    <d v="2026-01-01T11:19:00"/>
    <n v="149"/>
    <s v="UPI"/>
    <x v="0"/>
    <n v="68"/>
    <s v="Merchant_027"/>
    <s v="ecommerce"/>
    <s v="North"/>
    <n v="2.0000000000000001E-4"/>
    <d v="2026-01-01T00:00:00"/>
    <n v="149"/>
    <s v="Normal Merchant Day"/>
  </r>
  <r>
    <s v="TXN100044"/>
    <n v="309"/>
    <x v="19"/>
    <d v="2026-01-24T23:34:00"/>
    <n v="99"/>
    <s v="Netbanking"/>
    <x v="0"/>
    <n v="62"/>
    <s v="Merchant_015"/>
    <s v="travel"/>
    <s v="North"/>
    <n v="0.01"/>
    <d v="2026-01-24T00:00:00"/>
    <n v="148"/>
    <s v="Normal Merchant Day"/>
  </r>
  <r>
    <s v="TXN100045"/>
    <n v="249"/>
    <x v="27"/>
    <d v="2026-01-08T08:27:00"/>
    <n v="299"/>
    <s v="Wallet"/>
    <x v="0"/>
    <n v="49"/>
    <s v="Merchant_002"/>
    <s v="grocery"/>
    <s v="West"/>
    <n v="5.0000000000000001E-4"/>
    <d v="2026-01-08T00:00:00"/>
    <n v="299"/>
    <s v="Normal Merchant Day"/>
  </r>
  <r>
    <s v="TXN100046"/>
    <n v="208"/>
    <x v="2"/>
    <d v="2026-01-11T21:43:00"/>
    <n v="4999"/>
    <s v="Netbanking"/>
    <x v="0"/>
    <n v="59"/>
    <s v="Merchant_011"/>
    <s v="ecommerce"/>
    <s v="North"/>
    <n v="0.01"/>
    <d v="2026-01-11T00:00:00"/>
    <n v="4999"/>
    <s v="Normal Merchant Day"/>
  </r>
  <r>
    <s v="TXN100047"/>
    <n v="274"/>
    <x v="27"/>
    <d v="2026-01-30T04:39:00"/>
    <n v="299"/>
    <s v="UPI"/>
    <x v="0"/>
    <n v="50"/>
    <s v="Merchant_002"/>
    <s v="grocery"/>
    <s v="West"/>
    <n v="2.0000000000000001E-4"/>
    <d v="2026-01-30T00:00:00"/>
    <n v="299"/>
    <s v="Normal Merchant Day"/>
  </r>
  <r>
    <s v="TXN100048"/>
    <n v="14"/>
    <x v="18"/>
    <d v="2026-01-19T18:42:00"/>
    <n v="49"/>
    <s v="Wallet"/>
    <x v="0"/>
    <n v="82"/>
    <s v="Merchant_006"/>
    <s v="food_delivery"/>
    <s v="South"/>
    <n v="5.0000000000000001E-4"/>
    <d v="2026-01-19T00:00:00"/>
    <n v="49"/>
    <s v="Normal Merchant Day"/>
  </r>
  <r>
    <s v="TXN100049"/>
    <n v="237"/>
    <x v="9"/>
    <d v="2026-01-14T04:55:00"/>
    <n v="49"/>
    <s v="UPI"/>
    <x v="0"/>
    <n v="6"/>
    <s v="Merchant_012"/>
    <s v="ecommerce"/>
    <s v="East"/>
    <n v="2.0000000000000001E-4"/>
    <d v="2026-01-14T00:00:00"/>
    <n v="548"/>
    <s v="Normal Merchant Day"/>
  </r>
  <r>
    <s v="TXN100050"/>
    <n v="109"/>
    <x v="24"/>
    <d v="2026-01-09T12:20:00"/>
    <n v="99"/>
    <s v="UPI"/>
    <x v="0"/>
    <n v="41"/>
    <s v="Merchant_030"/>
    <s v="travel"/>
    <s v="West"/>
    <n v="2.0000000000000001E-4"/>
    <d v="2026-01-09T00:00:00"/>
    <n v="99"/>
    <s v="Normal Merchant Day"/>
  </r>
  <r>
    <s v="TXN100051"/>
    <n v="216"/>
    <x v="28"/>
    <d v="2026-01-11T12:17:00"/>
    <n v="4999"/>
    <s v="UPI"/>
    <x v="0"/>
    <n v="10"/>
    <s v="Merchant_017"/>
    <s v="grocery"/>
    <s v="North"/>
    <n v="2.0000000000000001E-4"/>
    <d v="2026-01-11T00:00:00"/>
    <n v="7998"/>
    <s v="High-Value Merchant Day"/>
  </r>
  <r>
    <s v="TXN100052"/>
    <n v="277"/>
    <x v="29"/>
    <d v="2026-01-16T00:47:00"/>
    <n v="799"/>
    <s v="UPI"/>
    <x v="0"/>
    <n v="44"/>
    <s v="Merchant_004"/>
    <s v="ecommerce"/>
    <s v="East"/>
    <n v="2.0000000000000001E-4"/>
    <d v="2026-01-16T00:00:00"/>
    <n v="799"/>
    <s v="Normal Merchant Day"/>
  </r>
  <r>
    <s v="TXN100053"/>
    <n v="334"/>
    <x v="4"/>
    <d v="2026-01-08T20:04:00"/>
    <n v="149"/>
    <s v="Wallet"/>
    <x v="0"/>
    <n v="96"/>
    <s v="Merchant_003"/>
    <s v="grocery"/>
    <s v="East"/>
    <n v="5.0000000000000001E-4"/>
    <d v="2026-01-08T00:00:00"/>
    <n v="149"/>
    <s v="Normal Merchant Day"/>
  </r>
  <r>
    <s v="TXN100054"/>
    <n v="11"/>
    <x v="12"/>
    <d v="2026-01-01T07:12:00"/>
    <n v="299"/>
    <s v="UPI"/>
    <x v="0"/>
    <n v="19"/>
    <s v="Merchant_040"/>
    <s v="entertainment"/>
    <s v="South"/>
    <n v="2.0000000000000001E-4"/>
    <d v="2026-01-01T00:00:00"/>
    <n v="299"/>
    <s v="Normal Merchant Day"/>
  </r>
  <r>
    <s v="TXN100055"/>
    <n v="343"/>
    <x v="30"/>
    <d v="2026-01-08T04:30:00"/>
    <n v="99"/>
    <s v="UPI"/>
    <x v="0"/>
    <n v="72"/>
    <s v="Merchant_008"/>
    <s v="food_delivery"/>
    <s v="North"/>
    <n v="2.0000000000000001E-4"/>
    <d v="2026-01-08T00:00:00"/>
    <n v="99"/>
    <s v="Normal Merchant Day"/>
  </r>
  <r>
    <s v="TXN100056"/>
    <n v="132"/>
    <x v="31"/>
    <d v="2026-01-07T14:44:00"/>
    <n v="299"/>
    <s v="Wallet"/>
    <x v="0"/>
    <n v="21"/>
    <s v="Merchant_024"/>
    <s v="grocery"/>
    <s v="North"/>
    <n v="5.0000000000000001E-4"/>
    <d v="2026-01-07T00:00:00"/>
    <n v="299"/>
    <s v="Normal Merchant Day"/>
  </r>
  <r>
    <s v="TXN100057"/>
    <n v="59"/>
    <x v="2"/>
    <d v="2026-01-20T19:47:00"/>
    <n v="299"/>
    <s v="UPI"/>
    <x v="0"/>
    <n v="39"/>
    <s v="Merchant_011"/>
    <s v="ecommerce"/>
    <s v="North"/>
    <n v="2.0000000000000001E-4"/>
    <d v="2026-01-20T00:00:00"/>
    <n v="299"/>
    <s v="Normal Merchant Day"/>
  </r>
  <r>
    <s v="TXN100058"/>
    <n v="160"/>
    <x v="21"/>
    <d v="2026-01-04T18:01:00"/>
    <n v="49"/>
    <s v="Wallet"/>
    <x v="0"/>
    <n v="86"/>
    <s v="Merchant_037"/>
    <s v="entertainment"/>
    <s v="South"/>
    <n v="5.0000000000000001E-4"/>
    <d v="2026-01-04T00:00:00"/>
    <n v="49"/>
    <s v="Normal Merchant Day"/>
  </r>
  <r>
    <s v="TXN100059"/>
    <n v="102"/>
    <x v="32"/>
    <d v="2026-01-30T12:25:00"/>
    <n v="2999"/>
    <s v="UPI"/>
    <x v="0"/>
    <n v="75"/>
    <s v="Merchant_005"/>
    <s v="recharge"/>
    <s v="South"/>
    <n v="2.0000000000000001E-4"/>
    <d v="2026-01-30T00:00:00"/>
    <n v="2999"/>
    <s v="Normal Merchant Day"/>
  </r>
  <r>
    <s v="TXN100060"/>
    <n v="53"/>
    <x v="15"/>
    <d v="2026-01-23T20:15:00"/>
    <n v="49"/>
    <s v="Netbanking"/>
    <x v="0"/>
    <n v="87"/>
    <s v="Merchant_020"/>
    <s v="food_delivery"/>
    <s v="East"/>
    <n v="0.01"/>
    <d v="2026-01-23T00:00:00"/>
    <n v="49"/>
    <s v="Normal Merchant Day"/>
  </r>
  <r>
    <s v="TXN100061"/>
    <n v="290"/>
    <x v="4"/>
    <d v="2026-01-20T03:50:00"/>
    <n v="99"/>
    <s v="Wallet"/>
    <x v="0"/>
    <n v="44"/>
    <s v="Merchant_003"/>
    <s v="grocery"/>
    <s v="East"/>
    <n v="5.0000000000000001E-4"/>
    <d v="2026-01-20T00:00:00"/>
    <n v="99"/>
    <s v="Normal Merchant Day"/>
  </r>
  <r>
    <s v="TXN100062"/>
    <n v="190"/>
    <x v="32"/>
    <d v="2026-01-18T13:42:00"/>
    <n v="299"/>
    <s v="UPI"/>
    <x v="0"/>
    <n v="64"/>
    <s v="Merchant_005"/>
    <s v="recharge"/>
    <s v="South"/>
    <n v="2.0000000000000001E-4"/>
    <d v="2026-01-18T00:00:00"/>
    <n v="299"/>
    <s v="Normal Merchant Day"/>
  </r>
  <r>
    <s v="TXN100063"/>
    <n v="216"/>
    <x v="33"/>
    <d v="2026-01-21T10:00:00"/>
    <n v="49"/>
    <s v="Card"/>
    <x v="0"/>
    <n v="13"/>
    <s v="Merchant_032"/>
    <s v="food_delivery"/>
    <s v="West"/>
    <n v="1.4999999999999999E-2"/>
    <d v="2026-01-21T00:00:00"/>
    <n v="348"/>
    <s v="Normal Merchant Day"/>
  </r>
  <r>
    <s v="TXN100064"/>
    <n v="236"/>
    <x v="34"/>
    <d v="2026-01-14T11:40:00"/>
    <n v="499"/>
    <s v="UPI"/>
    <x v="0"/>
    <n v="55"/>
    <s v="Merchant_010"/>
    <s v="grocery"/>
    <s v="West"/>
    <n v="2.0000000000000001E-4"/>
    <d v="2026-01-14T00:00:00"/>
    <n v="499"/>
    <s v="Normal Merchant Day"/>
  </r>
  <r>
    <s v="TXN100065"/>
    <n v="334"/>
    <x v="7"/>
    <d v="2026-01-06T23:33:00"/>
    <n v="499"/>
    <s v="Card"/>
    <x v="0"/>
    <n v="78"/>
    <s v="Merchant_018"/>
    <s v="grocery"/>
    <s v="West"/>
    <n v="1.4999999999999999E-2"/>
    <d v="2026-01-06T00:00:00"/>
    <n v="499"/>
    <s v="Normal Merchant Day"/>
  </r>
  <r>
    <s v="TXN100066"/>
    <n v="248"/>
    <x v="24"/>
    <d v="2026-01-26T17:49:00"/>
    <n v="799"/>
    <s v="Wallet"/>
    <x v="0"/>
    <n v="55"/>
    <s v="Merchant_030"/>
    <s v="travel"/>
    <s v="West"/>
    <n v="5.0000000000000001E-4"/>
    <d v="2026-01-26T00:00:00"/>
    <n v="799"/>
    <s v="Normal Merchant Day"/>
  </r>
  <r>
    <s v="TXN100067"/>
    <n v="138"/>
    <x v="17"/>
    <d v="2026-01-27T23:37:00"/>
    <n v="49"/>
    <s v="Card"/>
    <x v="0"/>
    <n v="31"/>
    <s v="Merchant_021"/>
    <s v="food_delivery"/>
    <s v="East"/>
    <n v="1.4999999999999999E-2"/>
    <d v="2026-01-27T00:00:00"/>
    <n v="49"/>
    <s v="Normal Merchant Day"/>
  </r>
  <r>
    <s v="TXN100068"/>
    <n v="231"/>
    <x v="0"/>
    <d v="2026-01-27T02:17:00"/>
    <n v="49"/>
    <s v="UPI"/>
    <x v="0"/>
    <n v="96"/>
    <s v="Merchant_016"/>
    <s v="bill_payment"/>
    <s v="West"/>
    <n v="2.0000000000000001E-4"/>
    <d v="2026-01-27T00:00:00"/>
    <n v="348"/>
    <s v="Normal Merchant Day"/>
  </r>
  <r>
    <s v="TXN100069"/>
    <n v="343"/>
    <x v="14"/>
    <d v="2026-01-15T18:39:00"/>
    <n v="49"/>
    <s v="UPI"/>
    <x v="0"/>
    <n v="43"/>
    <s v="Merchant_025"/>
    <s v="travel"/>
    <s v="South"/>
    <n v="2.0000000000000001E-4"/>
    <d v="2026-01-15T00:00:00"/>
    <n v="49"/>
    <s v="Normal Merchant Day"/>
  </r>
  <r>
    <s v="TXN100070"/>
    <n v="167"/>
    <x v="9"/>
    <d v="2026-01-01T15:54:00"/>
    <n v="499"/>
    <s v="Wallet"/>
    <x v="0"/>
    <n v="62"/>
    <s v="Merchant_012"/>
    <s v="ecommerce"/>
    <s v="East"/>
    <n v="5.0000000000000001E-4"/>
    <d v="2026-01-01T00:00:00"/>
    <n v="548"/>
    <s v="Normal Merchant Day"/>
  </r>
  <r>
    <s v="TXN100071"/>
    <n v="133"/>
    <x v="3"/>
    <d v="2026-01-07T11:51:00"/>
    <n v="499"/>
    <s v="UPI"/>
    <x v="0"/>
    <n v="35"/>
    <s v="Merchant_022"/>
    <s v="travel"/>
    <s v="South"/>
    <n v="2.0000000000000001E-4"/>
    <d v="2026-01-07T00:00:00"/>
    <n v="499"/>
    <s v="Normal Merchant Day"/>
  </r>
  <r>
    <s v="TXN100072"/>
    <n v="142"/>
    <x v="25"/>
    <d v="2026-01-29T19:44:00"/>
    <n v="799"/>
    <s v="Wallet"/>
    <x v="0"/>
    <n v="1"/>
    <s v="Merchant_036"/>
    <s v="entertainment"/>
    <s v="East"/>
    <n v="5.0000000000000001E-4"/>
    <d v="2026-01-29T00:00:00"/>
    <n v="799"/>
    <s v="Normal Merchant Day"/>
  </r>
  <r>
    <s v="TXN100073"/>
    <n v="124"/>
    <x v="1"/>
    <d v="2026-01-17T06:05:00"/>
    <n v="499"/>
    <s v="Wallet"/>
    <x v="0"/>
    <n v="62"/>
    <s v="Merchant_027"/>
    <s v="ecommerce"/>
    <s v="North"/>
    <n v="5.0000000000000001E-4"/>
    <d v="2026-01-17T00:00:00"/>
    <n v="1597"/>
    <s v="Normal Merchant Day"/>
  </r>
  <r>
    <s v="TXN100074"/>
    <n v="244"/>
    <x v="33"/>
    <d v="2026-01-18T07:44:00"/>
    <n v="149"/>
    <s v="UPI"/>
    <x v="0"/>
    <n v="57"/>
    <s v="Merchant_032"/>
    <s v="food_delivery"/>
    <s v="West"/>
    <n v="2.0000000000000001E-4"/>
    <d v="2026-01-18T00:00:00"/>
    <n v="149"/>
    <s v="Normal Merchant Day"/>
  </r>
  <r>
    <s v="TXN100075"/>
    <n v="151"/>
    <x v="19"/>
    <d v="2026-01-26T00:05:00"/>
    <n v="4999"/>
    <s v="UPI"/>
    <x v="0"/>
    <n v="51"/>
    <s v="Merchant_015"/>
    <s v="travel"/>
    <s v="North"/>
    <n v="2.0000000000000001E-4"/>
    <d v="2026-01-26T00:00:00"/>
    <n v="4999"/>
    <s v="Normal Merchant Day"/>
  </r>
  <r>
    <s v="TXN100076"/>
    <n v="340"/>
    <x v="35"/>
    <d v="2026-01-23T07:19:00"/>
    <n v="499"/>
    <s v="Card"/>
    <x v="0"/>
    <n v="47"/>
    <s v="Merchant_038"/>
    <s v="grocery"/>
    <s v="East"/>
    <n v="1.4999999999999999E-2"/>
    <d v="2026-01-23T00:00:00"/>
    <n v="499"/>
    <s v="Normal Merchant Day"/>
  </r>
  <r>
    <s v="TXN100077"/>
    <n v="177"/>
    <x v="10"/>
    <d v="2026-01-16T17:33:00"/>
    <n v="299"/>
    <s v="UPI"/>
    <x v="0"/>
    <n v="95"/>
    <s v="Merchant_028"/>
    <s v="ecommerce"/>
    <s v="South"/>
    <n v="2.0000000000000001E-4"/>
    <d v="2026-01-16T00:00:00"/>
    <n v="299"/>
    <s v="Normal Merchant Day"/>
  </r>
  <r>
    <s v="TXN100078"/>
    <n v="233"/>
    <x v="7"/>
    <d v="2026-01-18T10:22:00"/>
    <n v="499"/>
    <s v="UPI"/>
    <x v="0"/>
    <n v="39"/>
    <s v="Merchant_018"/>
    <s v="grocery"/>
    <s v="West"/>
    <n v="2.0000000000000001E-4"/>
    <d v="2026-01-18T00:00:00"/>
    <n v="499"/>
    <s v="Normal Merchant Day"/>
  </r>
  <r>
    <s v="TXN100079"/>
    <n v="99"/>
    <x v="17"/>
    <d v="2026-01-09T07:07:00"/>
    <n v="499"/>
    <s v="UPI"/>
    <x v="0"/>
    <n v="15"/>
    <s v="Merchant_021"/>
    <s v="food_delivery"/>
    <s v="East"/>
    <n v="2.0000000000000001E-4"/>
    <d v="2026-01-09T00:00:00"/>
    <n v="499"/>
    <s v="Normal Merchant Day"/>
  </r>
  <r>
    <s v="TXN100080"/>
    <n v="95"/>
    <x v="6"/>
    <d v="2026-01-24T17:48:00"/>
    <n v="2999"/>
    <s v="Netbanking"/>
    <x v="1"/>
    <n v="27"/>
    <s v="Merchant_013"/>
    <s v="travel"/>
    <s v="East"/>
    <n v="0.01"/>
    <d v="2026-01-24T00:00:00"/>
    <n v="2999"/>
    <s v="Normal Merchant Day"/>
  </r>
  <r>
    <s v="TXN100081"/>
    <n v="302"/>
    <x v="36"/>
    <d v="2026-01-24T15:17:00"/>
    <n v="49"/>
    <s v="Netbanking"/>
    <x v="0"/>
    <n v="76"/>
    <s v="Merchant_034"/>
    <s v="travel"/>
    <s v="South"/>
    <n v="0.01"/>
    <d v="2026-01-24T00:00:00"/>
    <n v="548"/>
    <s v="Normal Merchant Day"/>
  </r>
  <r>
    <s v="TXN100082"/>
    <n v="100"/>
    <x v="13"/>
    <d v="2026-01-10T03:53:00"/>
    <n v="2999"/>
    <s v="Netbanking"/>
    <x v="0"/>
    <n v="29"/>
    <s v="Merchant_019"/>
    <s v="grocery"/>
    <s v="North"/>
    <n v="0.01"/>
    <d v="2026-01-10T00:00:00"/>
    <n v="2999"/>
    <s v="Normal Merchant Day"/>
  </r>
  <r>
    <s v="TXN100083"/>
    <n v="8"/>
    <x v="8"/>
    <d v="2026-01-12T05:19:00"/>
    <n v="99"/>
    <s v="UPI"/>
    <x v="0"/>
    <n v="16"/>
    <s v="Merchant_035"/>
    <s v="recharge"/>
    <s v="East"/>
    <n v="2.0000000000000001E-4"/>
    <d v="2026-01-12T00:00:00"/>
    <n v="99"/>
    <s v="Normal Merchant Day"/>
  </r>
  <r>
    <s v="TXN100084"/>
    <n v="284"/>
    <x v="13"/>
    <d v="2026-01-09T01:03:00"/>
    <n v="99"/>
    <s v="UPI"/>
    <x v="0"/>
    <n v="89"/>
    <s v="Merchant_019"/>
    <s v="grocery"/>
    <s v="North"/>
    <n v="2.0000000000000001E-4"/>
    <d v="2026-01-09T00:00:00"/>
    <n v="99"/>
    <s v="Normal Merchant Day"/>
  </r>
  <r>
    <s v="TXN100085"/>
    <n v="252"/>
    <x v="23"/>
    <d v="2026-01-05T20:55:00"/>
    <n v="2999"/>
    <s v="Wallet"/>
    <x v="0"/>
    <n v="1"/>
    <s v="Merchant_007"/>
    <s v="food_delivery"/>
    <s v="East"/>
    <n v="5.0000000000000001E-4"/>
    <d v="2026-01-05T00:00:00"/>
    <n v="4498"/>
    <s v="Normal Merchant Day"/>
  </r>
  <r>
    <s v="TXN100086"/>
    <n v="246"/>
    <x v="26"/>
    <d v="2026-01-19T09:30:00"/>
    <n v="49"/>
    <s v="Wallet"/>
    <x v="0"/>
    <n v="43"/>
    <s v="Merchant_029"/>
    <s v="ecommerce"/>
    <s v="North"/>
    <n v="5.0000000000000001E-4"/>
    <d v="2026-01-19T00:00:00"/>
    <n v="49"/>
    <s v="Normal Merchant Day"/>
  </r>
  <r>
    <s v="TXN100087"/>
    <n v="245"/>
    <x v="30"/>
    <d v="2026-01-06T01:16:00"/>
    <n v="49"/>
    <s v="UPI"/>
    <x v="2"/>
    <n v="8"/>
    <s v="Merchant_008"/>
    <s v="food_delivery"/>
    <s v="North"/>
    <n v="2.0000000000000001E-4"/>
    <d v="2026-01-06T00:00:00"/>
    <n v="49"/>
    <s v="Normal Merchant Day"/>
  </r>
  <r>
    <s v="TXN100088"/>
    <n v="296"/>
    <x v="29"/>
    <d v="2026-01-13T15:04:00"/>
    <n v="799"/>
    <s v="Wallet"/>
    <x v="0"/>
    <n v="19"/>
    <s v="Merchant_004"/>
    <s v="ecommerce"/>
    <s v="East"/>
    <n v="5.0000000000000001E-4"/>
    <d v="2026-01-13T00:00:00"/>
    <n v="948"/>
    <s v="Normal Merchant Day"/>
  </r>
  <r>
    <s v="TXN100089"/>
    <n v="44"/>
    <x v="0"/>
    <d v="2026-01-05T18:19:00"/>
    <n v="149"/>
    <s v="UPI"/>
    <x v="0"/>
    <n v="15"/>
    <s v="Merchant_016"/>
    <s v="bill_payment"/>
    <s v="West"/>
    <n v="2.0000000000000001E-4"/>
    <d v="2026-01-05T00:00:00"/>
    <n v="149"/>
    <s v="Normal Merchant Day"/>
  </r>
  <r>
    <s v="TXN100090"/>
    <n v="306"/>
    <x v="12"/>
    <d v="2026-01-18T13:38:00"/>
    <n v="799"/>
    <s v="Card"/>
    <x v="0"/>
    <n v="28"/>
    <s v="Merchant_040"/>
    <s v="entertainment"/>
    <s v="South"/>
    <n v="1.4999999999999999E-2"/>
    <d v="2026-01-18T00:00:00"/>
    <n v="799"/>
    <s v="Normal Merchant Day"/>
  </r>
  <r>
    <s v="TXN100091"/>
    <n v="231"/>
    <x v="26"/>
    <d v="2026-01-25T16:24:00"/>
    <n v="299"/>
    <s v="UPI"/>
    <x v="0"/>
    <n v="38"/>
    <s v="Merchant_029"/>
    <s v="ecommerce"/>
    <s v="North"/>
    <n v="2.0000000000000001E-4"/>
    <d v="2026-01-25T00:00:00"/>
    <n v="3896"/>
    <s v="Normal Merchant Day"/>
  </r>
  <r>
    <s v="TXN100092"/>
    <n v="157"/>
    <x v="21"/>
    <d v="2026-01-28T18:27:00"/>
    <n v="499"/>
    <s v="Wallet"/>
    <x v="0"/>
    <n v="79"/>
    <s v="Merchant_037"/>
    <s v="entertainment"/>
    <s v="South"/>
    <n v="5.0000000000000001E-4"/>
    <d v="2026-01-28T00:00:00"/>
    <n v="697"/>
    <s v="Normal Merchant Day"/>
  </r>
  <r>
    <s v="TXN100093"/>
    <n v="51"/>
    <x v="16"/>
    <d v="2026-01-02T19:47:00"/>
    <n v="1499"/>
    <s v="UPI"/>
    <x v="0"/>
    <n v="80"/>
    <s v="Merchant_014"/>
    <s v="grocery"/>
    <s v="East"/>
    <n v="2.0000000000000001E-4"/>
    <d v="2026-01-02T00:00:00"/>
    <n v="1499"/>
    <s v="Normal Merchant Day"/>
  </r>
  <r>
    <s v="TXN100094"/>
    <n v="42"/>
    <x v="2"/>
    <d v="2026-01-07T08:42:00"/>
    <n v="49"/>
    <s v="Wallet"/>
    <x v="0"/>
    <n v="30"/>
    <s v="Merchant_011"/>
    <s v="ecommerce"/>
    <s v="North"/>
    <n v="5.0000000000000001E-4"/>
    <d v="2026-01-07T00:00:00"/>
    <n v="49"/>
    <s v="Normal Merchant Day"/>
  </r>
  <r>
    <s v="TXN100095"/>
    <n v="81"/>
    <x v="37"/>
    <d v="2026-01-06T17:04:00"/>
    <n v="149"/>
    <s v="UPI"/>
    <x v="0"/>
    <n v="52"/>
    <s v="Merchant_001"/>
    <s v="ecommerce"/>
    <s v="South"/>
    <n v="2.0000000000000001E-4"/>
    <d v="2026-01-06T00:00:00"/>
    <n v="149"/>
    <s v="Normal Merchant Day"/>
  </r>
  <r>
    <s v="TXN100096"/>
    <n v="241"/>
    <x v="13"/>
    <d v="2026-01-15T22:38:00"/>
    <n v="299"/>
    <s v="UPI"/>
    <x v="0"/>
    <n v="4"/>
    <s v="Merchant_019"/>
    <s v="grocery"/>
    <s v="North"/>
    <n v="2.0000000000000001E-4"/>
    <d v="2026-01-15T00:00:00"/>
    <n v="398"/>
    <s v="Normal Merchant Day"/>
  </r>
  <r>
    <s v="TXN100097"/>
    <n v="145"/>
    <x v="24"/>
    <d v="2026-01-08T09:45:00"/>
    <n v="799"/>
    <s v="UPI"/>
    <x v="0"/>
    <n v="9"/>
    <s v="Merchant_030"/>
    <s v="travel"/>
    <s v="West"/>
    <n v="2.0000000000000001E-4"/>
    <d v="2026-01-08T00:00:00"/>
    <n v="1197"/>
    <s v="Normal Merchant Day"/>
  </r>
  <r>
    <s v="TXN100098"/>
    <n v="136"/>
    <x v="35"/>
    <d v="2026-01-22T07:59:00"/>
    <n v="299"/>
    <s v="Card"/>
    <x v="0"/>
    <n v="84"/>
    <s v="Merchant_038"/>
    <s v="grocery"/>
    <s v="East"/>
    <n v="1.4999999999999999E-2"/>
    <d v="2026-01-22T00:00:00"/>
    <n v="299"/>
    <s v="Normal Merchant Day"/>
  </r>
  <r>
    <s v="TXN100099"/>
    <n v="59"/>
    <x v="8"/>
    <d v="2026-01-26T06:27:00"/>
    <n v="499"/>
    <s v="UPI"/>
    <x v="0"/>
    <n v="28"/>
    <s v="Merchant_035"/>
    <s v="recharge"/>
    <s v="East"/>
    <n v="2.0000000000000001E-4"/>
    <d v="2026-01-26T00:00:00"/>
    <n v="499"/>
    <s v="Normal Merchant Day"/>
  </r>
  <r>
    <s v="TXN100100"/>
    <n v="137"/>
    <x v="34"/>
    <d v="2026-01-21T04:58:00"/>
    <n v="299"/>
    <s v="UPI"/>
    <x v="0"/>
    <n v="9"/>
    <s v="Merchant_010"/>
    <s v="grocery"/>
    <s v="West"/>
    <n v="2.0000000000000001E-4"/>
    <d v="2026-01-21T00:00:00"/>
    <n v="398"/>
    <s v="Normal Merchant Day"/>
  </r>
  <r>
    <s v="TXN100101"/>
    <n v="158"/>
    <x v="38"/>
    <d v="2026-01-02T05:50:00"/>
    <n v="499"/>
    <s v="Netbanking"/>
    <x v="0"/>
    <n v="95"/>
    <s v="Merchant_039"/>
    <s v="entertainment"/>
    <s v="North"/>
    <n v="0.01"/>
    <d v="2026-01-02T00:00:00"/>
    <n v="499"/>
    <s v="Normal Merchant Day"/>
  </r>
  <r>
    <s v="TXN100102"/>
    <n v="148"/>
    <x v="26"/>
    <d v="2026-01-27T18:58:00"/>
    <n v="99"/>
    <s v="Card"/>
    <x v="0"/>
    <n v="15"/>
    <s v="Merchant_029"/>
    <s v="ecommerce"/>
    <s v="North"/>
    <n v="1.4999999999999999E-2"/>
    <d v="2026-01-27T00:00:00"/>
    <n v="898"/>
    <s v="Normal Merchant Day"/>
  </r>
  <r>
    <s v="TXN100103"/>
    <n v="207"/>
    <x v="7"/>
    <d v="2026-01-15T22:19:00"/>
    <n v="149"/>
    <s v="UPI"/>
    <x v="0"/>
    <n v="64"/>
    <s v="Merchant_018"/>
    <s v="grocery"/>
    <s v="West"/>
    <n v="2.0000000000000001E-4"/>
    <d v="2026-01-15T00:00:00"/>
    <n v="149"/>
    <s v="Normal Merchant Day"/>
  </r>
  <r>
    <s v="TXN100104"/>
    <n v="42"/>
    <x v="38"/>
    <d v="2026-01-18T15:28:00"/>
    <n v="2999"/>
    <s v="Card"/>
    <x v="0"/>
    <n v="5"/>
    <s v="Merchant_039"/>
    <s v="entertainment"/>
    <s v="North"/>
    <n v="1.4999999999999999E-2"/>
    <d v="2026-01-18T00:00:00"/>
    <n v="2999"/>
    <s v="Normal Merchant Day"/>
  </r>
  <r>
    <s v="TXN100105"/>
    <n v="166"/>
    <x v="38"/>
    <d v="2026-01-29T13:47:00"/>
    <n v="149"/>
    <s v="UPI"/>
    <x v="0"/>
    <n v="32"/>
    <s v="Merchant_039"/>
    <s v="entertainment"/>
    <s v="North"/>
    <n v="2.0000000000000001E-4"/>
    <d v="2026-01-29T00:00:00"/>
    <n v="149"/>
    <s v="Normal Merchant Day"/>
  </r>
  <r>
    <s v="TXN100106"/>
    <n v="346"/>
    <x v="21"/>
    <d v="2026-01-01T02:14:00"/>
    <n v="99"/>
    <s v="UPI"/>
    <x v="0"/>
    <n v="75"/>
    <s v="Merchant_037"/>
    <s v="entertainment"/>
    <s v="South"/>
    <n v="2.0000000000000001E-4"/>
    <d v="2026-01-01T00:00:00"/>
    <n v="598"/>
    <s v="Normal Merchant Day"/>
  </r>
  <r>
    <s v="TXN100107"/>
    <n v="138"/>
    <x v="21"/>
    <d v="2026-01-01T21:52:00"/>
    <n v="499"/>
    <s v="UPI"/>
    <x v="0"/>
    <n v="5"/>
    <s v="Merchant_037"/>
    <s v="entertainment"/>
    <s v="South"/>
    <n v="2.0000000000000001E-4"/>
    <d v="2026-01-01T00:00:00"/>
    <n v="598"/>
    <s v="Normal Merchant Day"/>
  </r>
  <r>
    <s v="TXN100108"/>
    <n v="266"/>
    <x v="26"/>
    <d v="2026-01-25T05:30:00"/>
    <n v="499"/>
    <s v="Wallet"/>
    <x v="1"/>
    <n v="35"/>
    <s v="Merchant_029"/>
    <s v="ecommerce"/>
    <s v="North"/>
    <n v="5.0000000000000001E-4"/>
    <d v="2026-01-25T00:00:00"/>
    <n v="3896"/>
    <s v="Normal Merchant Day"/>
  </r>
  <r>
    <s v="TXN100109"/>
    <n v="326"/>
    <x v="33"/>
    <d v="2026-01-06T18:27:00"/>
    <n v="149"/>
    <s v="UPI"/>
    <x v="0"/>
    <n v="11"/>
    <s v="Merchant_032"/>
    <s v="food_delivery"/>
    <s v="West"/>
    <n v="2.0000000000000001E-4"/>
    <d v="2026-01-06T00:00:00"/>
    <n v="149"/>
    <s v="Normal Merchant Day"/>
  </r>
  <r>
    <s v="TXN100110"/>
    <n v="171"/>
    <x v="17"/>
    <d v="2026-01-16T11:26:00"/>
    <n v="799"/>
    <s v="UPI"/>
    <x v="0"/>
    <n v="85"/>
    <s v="Merchant_021"/>
    <s v="food_delivery"/>
    <s v="East"/>
    <n v="2.0000000000000001E-4"/>
    <d v="2026-01-16T00:00:00"/>
    <n v="799"/>
    <s v="Normal Merchant Day"/>
  </r>
  <r>
    <s v="TXN100111"/>
    <n v="211"/>
    <x v="33"/>
    <d v="2026-01-04T05:21:00"/>
    <n v="49"/>
    <s v="UPI"/>
    <x v="0"/>
    <n v="36"/>
    <s v="Merchant_032"/>
    <s v="food_delivery"/>
    <s v="West"/>
    <n v="2.0000000000000001E-4"/>
    <d v="2026-01-04T00:00:00"/>
    <n v="49"/>
    <s v="Normal Merchant Day"/>
  </r>
  <r>
    <s v="TXN100112"/>
    <n v="282"/>
    <x v="4"/>
    <d v="2026-01-22T12:52:00"/>
    <n v="499"/>
    <s v="UPI"/>
    <x v="0"/>
    <n v="58"/>
    <s v="Merchant_003"/>
    <s v="grocery"/>
    <s v="East"/>
    <n v="2.0000000000000001E-4"/>
    <d v="2026-01-22T00:00:00"/>
    <n v="499"/>
    <s v="Normal Merchant Day"/>
  </r>
  <r>
    <s v="TXN100113"/>
    <n v="166"/>
    <x v="30"/>
    <d v="2026-01-03T10:16:00"/>
    <n v="299"/>
    <s v="UPI"/>
    <x v="0"/>
    <n v="98"/>
    <s v="Merchant_008"/>
    <s v="food_delivery"/>
    <s v="North"/>
    <n v="2.0000000000000001E-4"/>
    <d v="2026-01-03T00:00:00"/>
    <n v="299"/>
    <s v="Normal Merchant Day"/>
  </r>
  <r>
    <s v="TXN100114"/>
    <n v="1"/>
    <x v="8"/>
    <d v="2026-01-13T16:52:00"/>
    <n v="149"/>
    <s v="UPI"/>
    <x v="0"/>
    <n v="59"/>
    <s v="Merchant_035"/>
    <s v="recharge"/>
    <s v="East"/>
    <n v="2.0000000000000001E-4"/>
    <d v="2026-01-13T00:00:00"/>
    <n v="149"/>
    <s v="Normal Merchant Day"/>
  </r>
  <r>
    <s v="TXN100115"/>
    <n v="266"/>
    <x v="31"/>
    <d v="2026-01-14T01:12:00"/>
    <n v="499"/>
    <s v="UPI"/>
    <x v="0"/>
    <n v="79"/>
    <s v="Merchant_024"/>
    <s v="grocery"/>
    <s v="North"/>
    <n v="2.0000000000000001E-4"/>
    <d v="2026-01-14T00:00:00"/>
    <n v="499"/>
    <s v="Normal Merchant Day"/>
  </r>
  <r>
    <s v="TXN100116"/>
    <n v="227"/>
    <x v="29"/>
    <d v="2026-01-25T15:40:00"/>
    <n v="499"/>
    <s v="UPI"/>
    <x v="0"/>
    <n v="26"/>
    <s v="Merchant_004"/>
    <s v="ecommerce"/>
    <s v="East"/>
    <n v="2.0000000000000001E-4"/>
    <d v="2026-01-25T00:00:00"/>
    <n v="1998"/>
    <s v="Normal Merchant Day"/>
  </r>
  <r>
    <s v="TXN100117"/>
    <n v="148"/>
    <x v="26"/>
    <d v="2026-01-09T17:08:00"/>
    <n v="499"/>
    <s v="UPI"/>
    <x v="0"/>
    <n v="89"/>
    <s v="Merchant_029"/>
    <s v="ecommerce"/>
    <s v="North"/>
    <n v="2.0000000000000001E-4"/>
    <d v="2026-01-09T00:00:00"/>
    <n v="499"/>
    <s v="Normal Merchant Day"/>
  </r>
  <r>
    <s v="TXN100118"/>
    <n v="323"/>
    <x v="38"/>
    <d v="2026-01-16T03:01:00"/>
    <n v="499"/>
    <s v="UPI"/>
    <x v="0"/>
    <n v="30"/>
    <s v="Merchant_039"/>
    <s v="entertainment"/>
    <s v="North"/>
    <n v="2.0000000000000001E-4"/>
    <d v="2026-01-16T00:00:00"/>
    <n v="499"/>
    <s v="Normal Merchant Day"/>
  </r>
  <r>
    <s v="TXN100119"/>
    <n v="283"/>
    <x v="37"/>
    <d v="2026-01-23T05:19:00"/>
    <n v="2999"/>
    <s v="Wallet"/>
    <x v="0"/>
    <n v="70"/>
    <s v="Merchant_001"/>
    <s v="ecommerce"/>
    <s v="South"/>
    <n v="5.0000000000000001E-4"/>
    <d v="2026-01-23T00:00:00"/>
    <n v="3148"/>
    <s v="Normal Merchant Day"/>
  </r>
  <r>
    <s v="TXN100120"/>
    <n v="59"/>
    <x v="24"/>
    <d v="2026-01-14T02:14:00"/>
    <n v="499"/>
    <s v="UPI"/>
    <x v="0"/>
    <n v="15"/>
    <s v="Merchant_030"/>
    <s v="travel"/>
    <s v="West"/>
    <n v="2.0000000000000001E-4"/>
    <d v="2026-01-14T00:00:00"/>
    <n v="2497"/>
    <s v="Normal Merchant Day"/>
  </r>
  <r>
    <s v="TXN100121"/>
    <n v="150"/>
    <x v="11"/>
    <d v="2026-01-21T04:31:00"/>
    <n v="2999"/>
    <s v="UPI"/>
    <x v="0"/>
    <n v="90"/>
    <s v="Merchant_033"/>
    <s v="bill_payment"/>
    <s v="East"/>
    <n v="2.0000000000000001E-4"/>
    <d v="2026-01-21T00:00:00"/>
    <n v="3298"/>
    <s v="Normal Merchant Day"/>
  </r>
  <r>
    <s v="TXN100122"/>
    <n v="248"/>
    <x v="20"/>
    <d v="2026-01-09T13:53:00"/>
    <n v="1499"/>
    <s v="UPI"/>
    <x v="1"/>
    <n v="31"/>
    <s v="Merchant_031"/>
    <s v="bill_payment"/>
    <s v="East"/>
    <n v="2.0000000000000001E-4"/>
    <d v="2026-01-09T00:00:00"/>
    <n v="1499"/>
    <s v="Normal Merchant Day"/>
  </r>
  <r>
    <s v="TXN100123"/>
    <n v="197"/>
    <x v="6"/>
    <d v="2026-01-15T17:09:00"/>
    <n v="49"/>
    <s v="UPI"/>
    <x v="0"/>
    <n v="76"/>
    <s v="Merchant_013"/>
    <s v="travel"/>
    <s v="East"/>
    <n v="2.0000000000000001E-4"/>
    <d v="2026-01-15T00:00:00"/>
    <n v="49"/>
    <s v="Normal Merchant Day"/>
  </r>
  <r>
    <s v="TXN100124"/>
    <n v="70"/>
    <x v="32"/>
    <d v="2026-01-17T23:56:00"/>
    <n v="499"/>
    <s v="UPI"/>
    <x v="0"/>
    <n v="35"/>
    <s v="Merchant_005"/>
    <s v="recharge"/>
    <s v="South"/>
    <n v="2.0000000000000001E-4"/>
    <d v="2026-01-17T00:00:00"/>
    <n v="499"/>
    <s v="Normal Merchant Day"/>
  </r>
  <r>
    <s v="TXN100125"/>
    <n v="260"/>
    <x v="7"/>
    <d v="2026-01-25T13:21:00"/>
    <n v="1499"/>
    <s v="UPI"/>
    <x v="0"/>
    <n v="0"/>
    <s v="Merchant_018"/>
    <s v="grocery"/>
    <s v="West"/>
    <n v="2.0000000000000001E-4"/>
    <d v="2026-01-25T00:00:00"/>
    <n v="1648"/>
    <s v="Normal Merchant Day"/>
  </r>
  <r>
    <s v="TXN100126"/>
    <n v="301"/>
    <x v="35"/>
    <d v="2026-01-10T23:19:00"/>
    <n v="99"/>
    <s v="UPI"/>
    <x v="0"/>
    <n v="84"/>
    <s v="Merchant_038"/>
    <s v="grocery"/>
    <s v="East"/>
    <n v="2.0000000000000001E-4"/>
    <d v="2026-01-10T00:00:00"/>
    <n v="398"/>
    <s v="Normal Merchant Day"/>
  </r>
  <r>
    <s v="TXN100127"/>
    <n v="276"/>
    <x v="20"/>
    <d v="2026-01-16T04:28:00"/>
    <n v="499"/>
    <s v="Card"/>
    <x v="0"/>
    <n v="44"/>
    <s v="Merchant_031"/>
    <s v="bill_payment"/>
    <s v="East"/>
    <n v="1.4999999999999999E-2"/>
    <d v="2026-01-16T00:00:00"/>
    <n v="499"/>
    <s v="Normal Merchant Day"/>
  </r>
  <r>
    <s v="TXN100128"/>
    <n v="279"/>
    <x v="14"/>
    <d v="2026-01-11T17:48:00"/>
    <n v="799"/>
    <s v="UPI"/>
    <x v="0"/>
    <n v="58"/>
    <s v="Merchant_025"/>
    <s v="travel"/>
    <s v="South"/>
    <n v="2.0000000000000001E-4"/>
    <d v="2026-01-11T00:00:00"/>
    <n v="799"/>
    <s v="Normal Merchant Day"/>
  </r>
  <r>
    <s v="TXN100129"/>
    <n v="97"/>
    <x v="0"/>
    <d v="2026-01-30T10:55:00"/>
    <n v="799"/>
    <s v="Card"/>
    <x v="0"/>
    <n v="73"/>
    <s v="Merchant_016"/>
    <s v="bill_payment"/>
    <s v="West"/>
    <n v="1.4999999999999999E-2"/>
    <d v="2026-01-30T00:00:00"/>
    <n v="898"/>
    <s v="Normal Merchant Day"/>
  </r>
  <r>
    <s v="TXN100130"/>
    <n v="211"/>
    <x v="4"/>
    <d v="2026-01-13T07:54:00"/>
    <n v="149"/>
    <s v="UPI"/>
    <x v="2"/>
    <n v="40"/>
    <s v="Merchant_003"/>
    <s v="grocery"/>
    <s v="East"/>
    <n v="2.0000000000000001E-4"/>
    <d v="2026-01-13T00:00:00"/>
    <n v="198"/>
    <s v="Normal Merchant Day"/>
  </r>
  <r>
    <s v="TXN100131"/>
    <n v="196"/>
    <x v="14"/>
    <d v="2026-01-24T15:45:00"/>
    <n v="149"/>
    <s v="Netbanking"/>
    <x v="0"/>
    <n v="84"/>
    <s v="Merchant_025"/>
    <s v="travel"/>
    <s v="South"/>
    <n v="0.01"/>
    <d v="2026-01-24T00:00:00"/>
    <n v="497"/>
    <s v="Normal Merchant Day"/>
  </r>
  <r>
    <s v="TXN100132"/>
    <n v="254"/>
    <x v="4"/>
    <d v="2026-01-26T20:09:00"/>
    <n v="149"/>
    <s v="Card"/>
    <x v="0"/>
    <n v="16"/>
    <s v="Merchant_003"/>
    <s v="grocery"/>
    <s v="East"/>
    <n v="1.4999999999999999E-2"/>
    <d v="2026-01-26T00:00:00"/>
    <n v="149"/>
    <s v="Normal Merchant Day"/>
  </r>
  <r>
    <s v="TXN100133"/>
    <n v="52"/>
    <x v="26"/>
    <d v="2026-01-17T18:21:00"/>
    <n v="49"/>
    <s v="Netbanking"/>
    <x v="0"/>
    <n v="12"/>
    <s v="Merchant_029"/>
    <s v="ecommerce"/>
    <s v="North"/>
    <n v="0.01"/>
    <d v="2026-01-17T00:00:00"/>
    <n v="49"/>
    <s v="Normal Merchant Day"/>
  </r>
  <r>
    <s v="TXN100134"/>
    <n v="74"/>
    <x v="1"/>
    <d v="2026-01-17T14:00:00"/>
    <n v="799"/>
    <s v="UPI"/>
    <x v="0"/>
    <n v="83"/>
    <s v="Merchant_027"/>
    <s v="ecommerce"/>
    <s v="North"/>
    <n v="2.0000000000000001E-4"/>
    <d v="2026-01-17T00:00:00"/>
    <n v="1597"/>
    <s v="Normal Merchant Day"/>
  </r>
  <r>
    <s v="TXN100135"/>
    <n v="136"/>
    <x v="3"/>
    <d v="2026-01-05T02:30:00"/>
    <n v="149"/>
    <s v="UPI"/>
    <x v="0"/>
    <n v="79"/>
    <s v="Merchant_022"/>
    <s v="travel"/>
    <s v="South"/>
    <n v="2.0000000000000001E-4"/>
    <d v="2026-01-05T00:00:00"/>
    <n v="448"/>
    <s v="Normal Merchant Day"/>
  </r>
  <r>
    <s v="TXN100136"/>
    <n v="42"/>
    <x v="3"/>
    <d v="2026-01-23T12:41:00"/>
    <n v="49"/>
    <s v="UPI"/>
    <x v="0"/>
    <n v="86"/>
    <s v="Merchant_022"/>
    <s v="travel"/>
    <s v="South"/>
    <n v="2.0000000000000001E-4"/>
    <d v="2026-01-23T00:00:00"/>
    <n v="49"/>
    <s v="Normal Merchant Day"/>
  </r>
  <r>
    <s v="TXN100137"/>
    <n v="163"/>
    <x v="33"/>
    <d v="2026-01-28T17:24:00"/>
    <n v="2999"/>
    <s v="Wallet"/>
    <x v="1"/>
    <n v="69"/>
    <s v="Merchant_032"/>
    <s v="food_delivery"/>
    <s v="West"/>
    <n v="5.0000000000000001E-4"/>
    <d v="2026-01-28T00:00:00"/>
    <n v="2999"/>
    <s v="Normal Merchant Day"/>
  </r>
  <r>
    <s v="TXN100138"/>
    <n v="121"/>
    <x v="13"/>
    <d v="2026-01-02T19:04:00"/>
    <n v="149"/>
    <s v="UPI"/>
    <x v="0"/>
    <n v="29"/>
    <s v="Merchant_019"/>
    <s v="grocery"/>
    <s v="North"/>
    <n v="2.0000000000000001E-4"/>
    <d v="2026-01-02T00:00:00"/>
    <n v="149"/>
    <s v="Normal Merchant Day"/>
  </r>
  <r>
    <s v="TXN100139"/>
    <n v="51"/>
    <x v="23"/>
    <d v="2026-01-24T02:27:00"/>
    <n v="499"/>
    <s v="Card"/>
    <x v="0"/>
    <n v="56"/>
    <s v="Merchant_007"/>
    <s v="food_delivery"/>
    <s v="East"/>
    <n v="1.4999999999999999E-2"/>
    <d v="2026-01-24T00:00:00"/>
    <n v="1298"/>
    <s v="Normal Merchant Day"/>
  </r>
  <r>
    <s v="TXN100140"/>
    <n v="15"/>
    <x v="4"/>
    <d v="2026-01-06T22:19:00"/>
    <n v="799"/>
    <s v="UPI"/>
    <x v="0"/>
    <n v="41"/>
    <s v="Merchant_003"/>
    <s v="grocery"/>
    <s v="East"/>
    <n v="2.0000000000000001E-4"/>
    <d v="2026-01-06T00:00:00"/>
    <n v="898"/>
    <s v="Normal Merchant Day"/>
  </r>
  <r>
    <s v="TXN100141"/>
    <n v="184"/>
    <x v="31"/>
    <d v="2026-01-26T01:18:00"/>
    <n v="49"/>
    <s v="UPI"/>
    <x v="0"/>
    <n v="55"/>
    <s v="Merchant_024"/>
    <s v="grocery"/>
    <s v="North"/>
    <n v="2.0000000000000001E-4"/>
    <d v="2026-01-26T00:00:00"/>
    <n v="348"/>
    <s v="Normal Merchant Day"/>
  </r>
  <r>
    <s v="TXN100142"/>
    <n v="211"/>
    <x v="21"/>
    <d v="2026-01-05T07:33:00"/>
    <n v="1499"/>
    <s v="UPI"/>
    <x v="0"/>
    <n v="87"/>
    <s v="Merchant_037"/>
    <s v="entertainment"/>
    <s v="South"/>
    <n v="2.0000000000000001E-4"/>
    <d v="2026-01-05T00:00:00"/>
    <n v="1499"/>
    <s v="Normal Merchant Day"/>
  </r>
  <r>
    <s v="TXN100143"/>
    <n v="90"/>
    <x v="18"/>
    <d v="2026-01-26T05:10:00"/>
    <n v="49"/>
    <s v="Card"/>
    <x v="0"/>
    <n v="78"/>
    <s v="Merchant_006"/>
    <s v="food_delivery"/>
    <s v="South"/>
    <n v="1.4999999999999999E-2"/>
    <d v="2026-01-26T00:00:00"/>
    <n v="897"/>
    <s v="Normal Merchant Day"/>
  </r>
  <r>
    <s v="TXN100144"/>
    <n v="350"/>
    <x v="0"/>
    <d v="2026-01-28T12:39:00"/>
    <n v="49"/>
    <s v="UPI"/>
    <x v="0"/>
    <n v="63"/>
    <s v="Merchant_016"/>
    <s v="bill_payment"/>
    <s v="West"/>
    <n v="2.0000000000000001E-4"/>
    <d v="2026-01-28T00:00:00"/>
    <n v="49"/>
    <s v="Normal Merchant Day"/>
  </r>
  <r>
    <s v="TXN100145"/>
    <n v="119"/>
    <x v="24"/>
    <d v="2026-01-30T18:09:00"/>
    <n v="49"/>
    <s v="Card"/>
    <x v="0"/>
    <n v="81"/>
    <s v="Merchant_030"/>
    <s v="travel"/>
    <s v="West"/>
    <n v="1.4999999999999999E-2"/>
    <d v="2026-01-30T00:00:00"/>
    <n v="49"/>
    <s v="Normal Merchant Day"/>
  </r>
  <r>
    <s v="TXN100146"/>
    <n v="342"/>
    <x v="37"/>
    <d v="2026-01-09T14:16:00"/>
    <n v="49"/>
    <s v="UPI"/>
    <x v="0"/>
    <n v="59"/>
    <s v="Merchant_001"/>
    <s v="ecommerce"/>
    <s v="South"/>
    <n v="2.0000000000000001E-4"/>
    <d v="2026-01-09T00:00:00"/>
    <n v="5048"/>
    <s v="High-Value Merchant Day"/>
  </r>
  <r>
    <s v="TXN100147"/>
    <n v="280"/>
    <x v="2"/>
    <d v="2026-01-29T09:43:00"/>
    <n v="149"/>
    <s v="UPI"/>
    <x v="2"/>
    <n v="9"/>
    <s v="Merchant_011"/>
    <s v="ecommerce"/>
    <s v="North"/>
    <n v="2.0000000000000001E-4"/>
    <d v="2026-01-29T00:00:00"/>
    <n v="149"/>
    <s v="Normal Merchant Day"/>
  </r>
  <r>
    <s v="TXN100148"/>
    <n v="154"/>
    <x v="10"/>
    <d v="2026-01-15T11:37:00"/>
    <n v="2999"/>
    <s v="Netbanking"/>
    <x v="0"/>
    <n v="88"/>
    <s v="Merchant_028"/>
    <s v="ecommerce"/>
    <s v="South"/>
    <n v="0.01"/>
    <d v="2026-01-15T00:00:00"/>
    <n v="2999"/>
    <s v="Normal Merchant Day"/>
  </r>
  <r>
    <s v="TXN100149"/>
    <n v="155"/>
    <x v="6"/>
    <d v="2026-01-09T14:54:00"/>
    <n v="149"/>
    <s v="UPI"/>
    <x v="0"/>
    <n v="49"/>
    <s v="Merchant_013"/>
    <s v="travel"/>
    <s v="East"/>
    <n v="2.0000000000000001E-4"/>
    <d v="2026-01-09T00:00:00"/>
    <n v="198"/>
    <s v="Normal Merchant Day"/>
  </r>
  <r>
    <s v="TXN100150"/>
    <n v="122"/>
    <x v="14"/>
    <d v="2026-01-28T15:06:00"/>
    <n v="299"/>
    <s v="UPI"/>
    <x v="0"/>
    <n v="73"/>
    <s v="Merchant_025"/>
    <s v="travel"/>
    <s v="South"/>
    <n v="2.0000000000000001E-4"/>
    <d v="2026-01-28T00:00:00"/>
    <n v="299"/>
    <s v="Normal Merchant Day"/>
  </r>
  <r>
    <s v="TXN100151"/>
    <n v="152"/>
    <x v="27"/>
    <d v="2026-01-12T18:18:00"/>
    <n v="49"/>
    <s v="UPI"/>
    <x v="0"/>
    <n v="84"/>
    <s v="Merchant_002"/>
    <s v="grocery"/>
    <s v="West"/>
    <n v="2.0000000000000001E-4"/>
    <d v="2026-01-12T00:00:00"/>
    <n v="348"/>
    <s v="Normal Merchant Day"/>
  </r>
  <r>
    <s v="TXN100152"/>
    <n v="290"/>
    <x v="29"/>
    <d v="2026-01-13T08:00:00"/>
    <n v="149"/>
    <s v="UPI"/>
    <x v="0"/>
    <n v="77"/>
    <s v="Merchant_004"/>
    <s v="ecommerce"/>
    <s v="East"/>
    <n v="2.0000000000000001E-4"/>
    <d v="2026-01-13T00:00:00"/>
    <n v="948"/>
    <s v="Normal Merchant Day"/>
  </r>
  <r>
    <s v="TXN100153"/>
    <n v="147"/>
    <x v="19"/>
    <d v="2026-01-24T15:53:00"/>
    <n v="49"/>
    <s v="Wallet"/>
    <x v="0"/>
    <n v="77"/>
    <s v="Merchant_015"/>
    <s v="travel"/>
    <s v="North"/>
    <n v="5.0000000000000001E-4"/>
    <d v="2026-01-24T00:00:00"/>
    <n v="148"/>
    <s v="Normal Merchant Day"/>
  </r>
  <r>
    <s v="TXN100154"/>
    <n v="326"/>
    <x v="6"/>
    <d v="2026-01-26T11:14:00"/>
    <n v="299"/>
    <s v="Netbanking"/>
    <x v="0"/>
    <n v="79"/>
    <s v="Merchant_013"/>
    <s v="travel"/>
    <s v="East"/>
    <n v="0.01"/>
    <d v="2026-01-26T00:00:00"/>
    <n v="299"/>
    <s v="Normal Merchant Day"/>
  </r>
  <r>
    <s v="TXN100155"/>
    <n v="338"/>
    <x v="39"/>
    <d v="2026-01-09T21:48:00"/>
    <n v="99"/>
    <s v="Card"/>
    <x v="0"/>
    <n v="80"/>
    <s v="Merchant_009"/>
    <s v="ecommerce"/>
    <s v="North"/>
    <n v="1.4999999999999999E-2"/>
    <d v="2026-01-09T00:00:00"/>
    <n v="99"/>
    <s v="Normal Merchant Day"/>
  </r>
  <r>
    <s v="TXN100156"/>
    <n v="21"/>
    <x v="15"/>
    <d v="2026-01-04T20:41:00"/>
    <n v="2999"/>
    <s v="UPI"/>
    <x v="0"/>
    <n v="100"/>
    <s v="Merchant_020"/>
    <s v="food_delivery"/>
    <s v="East"/>
    <n v="2.0000000000000001E-4"/>
    <d v="2026-01-04T00:00:00"/>
    <n v="2999"/>
    <s v="Normal Merchant Day"/>
  </r>
  <r>
    <s v="TXN100157"/>
    <n v="187"/>
    <x v="39"/>
    <d v="2026-01-15T01:37:00"/>
    <n v="49"/>
    <s v="Card"/>
    <x v="1"/>
    <n v="11"/>
    <s v="Merchant_009"/>
    <s v="ecommerce"/>
    <s v="North"/>
    <n v="1.4999999999999999E-2"/>
    <d v="2026-01-15T00:00:00"/>
    <n v="148"/>
    <s v="Normal Merchant Day"/>
  </r>
  <r>
    <s v="TXN100158"/>
    <n v="213"/>
    <x v="9"/>
    <d v="2026-01-30T09:20:00"/>
    <n v="4999"/>
    <s v="UPI"/>
    <x v="0"/>
    <n v="25"/>
    <s v="Merchant_012"/>
    <s v="ecommerce"/>
    <s v="East"/>
    <n v="2.0000000000000001E-4"/>
    <d v="2026-01-30T00:00:00"/>
    <n v="4999"/>
    <s v="Normal Merchant Day"/>
  </r>
  <r>
    <s v="TXN100159"/>
    <n v="188"/>
    <x v="36"/>
    <d v="2026-01-05T17:56:00"/>
    <n v="2999"/>
    <s v="UPI"/>
    <x v="0"/>
    <n v="64"/>
    <s v="Merchant_034"/>
    <s v="travel"/>
    <s v="South"/>
    <n v="2.0000000000000001E-4"/>
    <d v="2026-01-05T00:00:00"/>
    <n v="2999"/>
    <s v="Normal Merchant Day"/>
  </r>
  <r>
    <s v="TXN100160"/>
    <n v="85"/>
    <x v="28"/>
    <d v="2026-01-30T08:53:00"/>
    <n v="499"/>
    <s v="UPI"/>
    <x v="0"/>
    <n v="61"/>
    <s v="Merchant_017"/>
    <s v="grocery"/>
    <s v="North"/>
    <n v="2.0000000000000001E-4"/>
    <d v="2026-01-30T00:00:00"/>
    <n v="499"/>
    <s v="Normal Merchant Day"/>
  </r>
  <r>
    <s v="TXN100161"/>
    <n v="174"/>
    <x v="30"/>
    <d v="2026-01-26T09:47:00"/>
    <n v="299"/>
    <s v="Netbanking"/>
    <x v="0"/>
    <n v="59"/>
    <s v="Merchant_008"/>
    <s v="food_delivery"/>
    <s v="North"/>
    <n v="0.01"/>
    <d v="2026-01-26T00:00:00"/>
    <n v="598"/>
    <s v="Normal Merchant Day"/>
  </r>
  <r>
    <s v="TXN100162"/>
    <n v="116"/>
    <x v="22"/>
    <d v="2026-01-03T04:48:00"/>
    <n v="99"/>
    <s v="Netbanking"/>
    <x v="0"/>
    <n v="71"/>
    <s v="Merchant_026"/>
    <s v="food_delivery"/>
    <s v="East"/>
    <n v="0.01"/>
    <d v="2026-01-03T00:00:00"/>
    <n v="99"/>
    <s v="Normal Merchant Day"/>
  </r>
  <r>
    <s v="TXN100163"/>
    <n v="203"/>
    <x v="37"/>
    <d v="2026-01-12T02:50:00"/>
    <n v="149"/>
    <s v="Wallet"/>
    <x v="0"/>
    <n v="33"/>
    <s v="Merchant_001"/>
    <s v="ecommerce"/>
    <s v="South"/>
    <n v="5.0000000000000001E-4"/>
    <d v="2026-01-12T00:00:00"/>
    <n v="149"/>
    <s v="Normal Merchant Day"/>
  </r>
  <r>
    <s v="TXN100164"/>
    <n v="189"/>
    <x v="28"/>
    <d v="2026-01-18T03:29:00"/>
    <n v="99"/>
    <s v="UPI"/>
    <x v="0"/>
    <n v="74"/>
    <s v="Merchant_017"/>
    <s v="grocery"/>
    <s v="North"/>
    <n v="2.0000000000000001E-4"/>
    <d v="2026-01-18T00:00:00"/>
    <n v="198"/>
    <s v="Normal Merchant Day"/>
  </r>
  <r>
    <s v="TXN100165"/>
    <n v="56"/>
    <x v="19"/>
    <d v="2026-01-13T20:23:00"/>
    <n v="299"/>
    <s v="UPI"/>
    <x v="0"/>
    <n v="60"/>
    <s v="Merchant_015"/>
    <s v="travel"/>
    <s v="North"/>
    <n v="2.0000000000000001E-4"/>
    <d v="2026-01-13T00:00:00"/>
    <n v="299"/>
    <s v="Normal Merchant Day"/>
  </r>
  <r>
    <s v="TXN100166"/>
    <n v="288"/>
    <x v="17"/>
    <d v="2026-01-01T19:56:00"/>
    <n v="4999"/>
    <s v="Wallet"/>
    <x v="1"/>
    <n v="78"/>
    <s v="Merchant_021"/>
    <s v="food_delivery"/>
    <s v="East"/>
    <n v="5.0000000000000001E-4"/>
    <d v="2026-01-01T00:00:00"/>
    <n v="5298"/>
    <s v="Normal Merchant Day"/>
  </r>
  <r>
    <s v="TXN100167"/>
    <n v="326"/>
    <x v="24"/>
    <d v="2026-01-08T20:04:00"/>
    <n v="99"/>
    <s v="Card"/>
    <x v="0"/>
    <n v="89"/>
    <s v="Merchant_030"/>
    <s v="travel"/>
    <s v="West"/>
    <n v="1.4999999999999999E-2"/>
    <d v="2026-01-08T00:00:00"/>
    <n v="1197"/>
    <s v="Normal Merchant Day"/>
  </r>
  <r>
    <s v="TXN100168"/>
    <n v="60"/>
    <x v="39"/>
    <d v="2026-01-10T20:26:00"/>
    <n v="49"/>
    <s v="Netbanking"/>
    <x v="0"/>
    <n v="5"/>
    <s v="Merchant_009"/>
    <s v="ecommerce"/>
    <s v="North"/>
    <n v="0.01"/>
    <d v="2026-01-10T00:00:00"/>
    <n v="49"/>
    <s v="Normal Merchant Day"/>
  </r>
  <r>
    <s v="TXN100169"/>
    <n v="60"/>
    <x v="23"/>
    <d v="2026-01-02T09:31:00"/>
    <n v="2999"/>
    <s v="Wallet"/>
    <x v="0"/>
    <n v="30"/>
    <s v="Merchant_007"/>
    <s v="food_delivery"/>
    <s v="East"/>
    <n v="5.0000000000000001E-4"/>
    <d v="2026-01-02T00:00:00"/>
    <n v="3797"/>
    <s v="Normal Merchant Day"/>
  </r>
  <r>
    <s v="TXN100170"/>
    <n v="199"/>
    <x v="24"/>
    <d v="2026-01-29T17:08:00"/>
    <n v="149"/>
    <s v="Netbanking"/>
    <x v="0"/>
    <n v="47"/>
    <s v="Merchant_030"/>
    <s v="travel"/>
    <s v="West"/>
    <n v="0.01"/>
    <d v="2026-01-29T00:00:00"/>
    <n v="149"/>
    <s v="Normal Merchant Day"/>
  </r>
  <r>
    <s v="TXN100171"/>
    <n v="277"/>
    <x v="1"/>
    <d v="2026-01-22T23:44:00"/>
    <n v="49"/>
    <s v="UPI"/>
    <x v="0"/>
    <n v="75"/>
    <s v="Merchant_027"/>
    <s v="ecommerce"/>
    <s v="North"/>
    <n v="2.0000000000000001E-4"/>
    <d v="2026-01-22T00:00:00"/>
    <n v="49"/>
    <s v="Normal Merchant Day"/>
  </r>
  <r>
    <s v="TXN100172"/>
    <n v="213"/>
    <x v="23"/>
    <d v="2026-01-24T23:09:00"/>
    <n v="799"/>
    <s v="Netbanking"/>
    <x v="0"/>
    <n v="62"/>
    <s v="Merchant_007"/>
    <s v="food_delivery"/>
    <s v="East"/>
    <n v="0.01"/>
    <d v="2026-01-24T00:00:00"/>
    <n v="1298"/>
    <s v="Normal Merchant Day"/>
  </r>
  <r>
    <s v="TXN100173"/>
    <n v="17"/>
    <x v="31"/>
    <d v="2026-01-20T13:17:00"/>
    <n v="299"/>
    <s v="UPI"/>
    <x v="0"/>
    <n v="27"/>
    <s v="Merchant_024"/>
    <s v="grocery"/>
    <s v="North"/>
    <n v="2.0000000000000001E-4"/>
    <d v="2026-01-20T00:00:00"/>
    <n v="299"/>
    <s v="Normal Merchant Day"/>
  </r>
  <r>
    <s v="TXN100174"/>
    <n v="186"/>
    <x v="23"/>
    <d v="2026-01-15T14:15:00"/>
    <n v="1499"/>
    <s v="Card"/>
    <x v="1"/>
    <n v="87"/>
    <s v="Merchant_007"/>
    <s v="food_delivery"/>
    <s v="East"/>
    <n v="1.4999999999999999E-2"/>
    <d v="2026-01-15T00:00:00"/>
    <n v="1648"/>
    <s v="Normal Merchant Day"/>
  </r>
  <r>
    <s v="TXN100175"/>
    <n v="331"/>
    <x v="5"/>
    <d v="2026-01-12T17:57:00"/>
    <n v="149"/>
    <s v="UPI"/>
    <x v="0"/>
    <n v="7"/>
    <s v="Merchant_023"/>
    <s v="travel"/>
    <s v="North"/>
    <n v="2.0000000000000001E-4"/>
    <d v="2026-01-12T00:00:00"/>
    <n v="149"/>
    <s v="Normal Merchant Day"/>
  </r>
  <r>
    <s v="TXN100176"/>
    <n v="63"/>
    <x v="24"/>
    <d v="2026-01-13T08:12:00"/>
    <n v="1499"/>
    <s v="Card"/>
    <x v="0"/>
    <n v="11"/>
    <s v="Merchant_030"/>
    <s v="travel"/>
    <s v="West"/>
    <n v="1.4999999999999999E-2"/>
    <d v="2026-01-13T00:00:00"/>
    <n v="1499"/>
    <s v="Normal Merchant Day"/>
  </r>
  <r>
    <s v="TXN100177"/>
    <n v="328"/>
    <x v="38"/>
    <d v="2026-01-22T06:41:00"/>
    <n v="4999"/>
    <s v="Wallet"/>
    <x v="2"/>
    <n v="2"/>
    <s v="Merchant_039"/>
    <s v="entertainment"/>
    <s v="North"/>
    <n v="5.0000000000000001E-4"/>
    <d v="2026-01-22T00:00:00"/>
    <n v="9796"/>
    <s v="High-Value Merchant Day"/>
  </r>
  <r>
    <s v="TXN100178"/>
    <n v="65"/>
    <x v="21"/>
    <d v="2026-01-02T10:15:00"/>
    <n v="2999"/>
    <s v="Card"/>
    <x v="0"/>
    <n v="26"/>
    <s v="Merchant_037"/>
    <s v="entertainment"/>
    <s v="South"/>
    <n v="1.4999999999999999E-2"/>
    <d v="2026-01-02T00:00:00"/>
    <n v="2999"/>
    <s v="Normal Merchant Day"/>
  </r>
  <r>
    <s v="TXN100179"/>
    <n v="301"/>
    <x v="16"/>
    <d v="2026-01-03T17:13:00"/>
    <n v="149"/>
    <s v="UPI"/>
    <x v="0"/>
    <n v="29"/>
    <s v="Merchant_014"/>
    <s v="grocery"/>
    <s v="East"/>
    <n v="2.0000000000000001E-4"/>
    <d v="2026-01-03T00:00:00"/>
    <n v="149"/>
    <s v="Normal Merchant Day"/>
  </r>
  <r>
    <s v="TXN100180"/>
    <n v="306"/>
    <x v="37"/>
    <d v="2026-01-11T04:50:00"/>
    <n v="299"/>
    <s v="UPI"/>
    <x v="1"/>
    <n v="35"/>
    <s v="Merchant_001"/>
    <s v="ecommerce"/>
    <s v="South"/>
    <n v="2.0000000000000001E-4"/>
    <d v="2026-01-11T00:00:00"/>
    <n v="299"/>
    <s v="Normal Merchant Day"/>
  </r>
  <r>
    <s v="TXN100181"/>
    <n v="277"/>
    <x v="28"/>
    <d v="2026-01-28T04:08:00"/>
    <n v="299"/>
    <s v="UPI"/>
    <x v="0"/>
    <n v="22"/>
    <s v="Merchant_017"/>
    <s v="grocery"/>
    <s v="North"/>
    <n v="2.0000000000000001E-4"/>
    <d v="2026-01-28T00:00:00"/>
    <n v="299"/>
    <s v="Normal Merchant Day"/>
  </r>
  <r>
    <s v="TXN100182"/>
    <n v="14"/>
    <x v="39"/>
    <d v="2026-01-04T21:55:00"/>
    <n v="499"/>
    <s v="UPI"/>
    <x v="0"/>
    <n v="1"/>
    <s v="Merchant_009"/>
    <s v="ecommerce"/>
    <s v="North"/>
    <n v="2.0000000000000001E-4"/>
    <d v="2026-01-04T00:00:00"/>
    <n v="499"/>
    <s v="Normal Merchant Day"/>
  </r>
  <r>
    <s v="TXN100183"/>
    <n v="166"/>
    <x v="27"/>
    <d v="2026-01-12T07:37:00"/>
    <n v="299"/>
    <s v="Card"/>
    <x v="0"/>
    <n v="22"/>
    <s v="Merchant_002"/>
    <s v="grocery"/>
    <s v="West"/>
    <n v="1.4999999999999999E-2"/>
    <d v="2026-01-12T00:00:00"/>
    <n v="348"/>
    <s v="Normal Merchant Day"/>
  </r>
  <r>
    <s v="TXN100184"/>
    <n v="216"/>
    <x v="36"/>
    <d v="2026-01-09T01:08:00"/>
    <n v="299"/>
    <s v="Card"/>
    <x v="0"/>
    <n v="14"/>
    <s v="Merchant_034"/>
    <s v="travel"/>
    <s v="South"/>
    <n v="1.4999999999999999E-2"/>
    <d v="2026-01-09T00:00:00"/>
    <n v="299"/>
    <s v="Normal Merchant Day"/>
  </r>
  <r>
    <s v="TXN100185"/>
    <n v="230"/>
    <x v="31"/>
    <d v="2026-01-24T02:30:00"/>
    <n v="49"/>
    <s v="UPI"/>
    <x v="0"/>
    <n v="65"/>
    <s v="Merchant_024"/>
    <s v="grocery"/>
    <s v="North"/>
    <n v="2.0000000000000001E-4"/>
    <d v="2026-01-24T00:00:00"/>
    <n v="148"/>
    <s v="Normal Merchant Day"/>
  </r>
  <r>
    <s v="TXN100186"/>
    <n v="258"/>
    <x v="19"/>
    <d v="2026-01-19T03:28:00"/>
    <n v="499"/>
    <s v="Wallet"/>
    <x v="0"/>
    <n v="78"/>
    <s v="Merchant_015"/>
    <s v="travel"/>
    <s v="North"/>
    <n v="5.0000000000000001E-4"/>
    <d v="2026-01-19T00:00:00"/>
    <n v="499"/>
    <s v="Normal Merchant Day"/>
  </r>
  <r>
    <s v="TXN100187"/>
    <n v="338"/>
    <x v="36"/>
    <d v="2026-01-02T23:50:00"/>
    <n v="49"/>
    <s v="UPI"/>
    <x v="0"/>
    <n v="38"/>
    <s v="Merchant_034"/>
    <s v="travel"/>
    <s v="South"/>
    <n v="2.0000000000000001E-4"/>
    <d v="2026-01-02T00:00:00"/>
    <n v="548"/>
    <s v="Normal Merchant Day"/>
  </r>
  <r>
    <s v="TXN100188"/>
    <n v="32"/>
    <x v="20"/>
    <d v="2026-01-15T20:01:00"/>
    <n v="299"/>
    <s v="UPI"/>
    <x v="0"/>
    <n v="51"/>
    <s v="Merchant_031"/>
    <s v="bill_payment"/>
    <s v="East"/>
    <n v="2.0000000000000001E-4"/>
    <d v="2026-01-15T00:00:00"/>
    <n v="299"/>
    <s v="Normal Merchant Day"/>
  </r>
  <r>
    <s v="TXN100189"/>
    <n v="252"/>
    <x v="26"/>
    <d v="2026-01-14T21:06:00"/>
    <n v="1499"/>
    <s v="UPI"/>
    <x v="0"/>
    <n v="9"/>
    <s v="Merchant_029"/>
    <s v="ecommerce"/>
    <s v="North"/>
    <n v="2.0000000000000001E-4"/>
    <d v="2026-01-14T00:00:00"/>
    <n v="1998"/>
    <s v="Normal Merchant Day"/>
  </r>
  <r>
    <s v="TXN100190"/>
    <n v="312"/>
    <x v="34"/>
    <d v="2026-01-29T02:20:00"/>
    <n v="799"/>
    <s v="UPI"/>
    <x v="0"/>
    <n v="8"/>
    <s v="Merchant_010"/>
    <s v="grocery"/>
    <s v="West"/>
    <n v="2.0000000000000001E-4"/>
    <d v="2026-01-29T00:00:00"/>
    <n v="799"/>
    <s v="Normal Merchant Day"/>
  </r>
  <r>
    <s v="TXN100191"/>
    <n v="325"/>
    <x v="35"/>
    <d v="2026-01-05T08:39:00"/>
    <n v="1499"/>
    <s v="Netbanking"/>
    <x v="0"/>
    <n v="70"/>
    <s v="Merchant_038"/>
    <s v="grocery"/>
    <s v="East"/>
    <n v="0.01"/>
    <d v="2026-01-05T00:00:00"/>
    <n v="1499"/>
    <s v="Normal Merchant Day"/>
  </r>
  <r>
    <s v="TXN100192"/>
    <n v="306"/>
    <x v="36"/>
    <d v="2026-01-23T10:24:00"/>
    <n v="2999"/>
    <s v="UPI"/>
    <x v="0"/>
    <n v="37"/>
    <s v="Merchant_034"/>
    <s v="travel"/>
    <s v="South"/>
    <n v="2.0000000000000001E-4"/>
    <d v="2026-01-23T00:00:00"/>
    <n v="3148"/>
    <s v="Normal Merchant Day"/>
  </r>
  <r>
    <s v="TXN100193"/>
    <n v="221"/>
    <x v="23"/>
    <d v="2026-01-15T16:38:00"/>
    <n v="149"/>
    <s v="Netbanking"/>
    <x v="0"/>
    <n v="89"/>
    <s v="Merchant_007"/>
    <s v="food_delivery"/>
    <s v="East"/>
    <n v="0.01"/>
    <d v="2026-01-15T00:00:00"/>
    <n v="1648"/>
    <s v="Normal Merchant Day"/>
  </r>
  <r>
    <s v="TXN100194"/>
    <n v="283"/>
    <x v="16"/>
    <d v="2026-01-04T20:41:00"/>
    <n v="99"/>
    <s v="Wallet"/>
    <x v="0"/>
    <n v="55"/>
    <s v="Merchant_014"/>
    <s v="grocery"/>
    <s v="East"/>
    <n v="5.0000000000000001E-4"/>
    <d v="2026-01-04T00:00:00"/>
    <n v="99"/>
    <s v="Normal Merchant Day"/>
  </r>
  <r>
    <s v="TXN100195"/>
    <n v="174"/>
    <x v="24"/>
    <d v="2026-01-15T07:26:00"/>
    <n v="49"/>
    <s v="UPI"/>
    <x v="0"/>
    <n v="51"/>
    <s v="Merchant_030"/>
    <s v="travel"/>
    <s v="West"/>
    <n v="2.0000000000000001E-4"/>
    <d v="2026-01-15T00:00:00"/>
    <n v="49"/>
    <s v="Normal Merchant Day"/>
  </r>
  <r>
    <s v="TXN100196"/>
    <n v="161"/>
    <x v="10"/>
    <d v="2026-01-14T23:06:00"/>
    <n v="49"/>
    <s v="UPI"/>
    <x v="0"/>
    <n v="40"/>
    <s v="Merchant_028"/>
    <s v="ecommerce"/>
    <s v="South"/>
    <n v="2.0000000000000001E-4"/>
    <d v="2026-01-14T00:00:00"/>
    <n v="49"/>
    <s v="Normal Merchant Day"/>
  </r>
  <r>
    <s v="TXN100197"/>
    <n v="79"/>
    <x v="20"/>
    <d v="2026-01-22T08:23:00"/>
    <n v="99"/>
    <s v="UPI"/>
    <x v="0"/>
    <n v="8"/>
    <s v="Merchant_031"/>
    <s v="bill_payment"/>
    <s v="East"/>
    <n v="2.0000000000000001E-4"/>
    <d v="2026-01-22T00:00:00"/>
    <n v="99"/>
    <s v="Normal Merchant Day"/>
  </r>
  <r>
    <s v="TXN100198"/>
    <n v="222"/>
    <x v="23"/>
    <d v="2026-01-03T02:05:00"/>
    <n v="149"/>
    <s v="Wallet"/>
    <x v="0"/>
    <n v="95"/>
    <s v="Merchant_007"/>
    <s v="food_delivery"/>
    <s v="East"/>
    <n v="5.0000000000000001E-4"/>
    <d v="2026-01-03T00:00:00"/>
    <n v="149"/>
    <s v="Normal Merchant Day"/>
  </r>
  <r>
    <s v="TXN100199"/>
    <n v="67"/>
    <x v="25"/>
    <d v="2026-01-24T11:51:00"/>
    <n v="99"/>
    <s v="UPI"/>
    <x v="0"/>
    <n v="7"/>
    <s v="Merchant_036"/>
    <s v="entertainment"/>
    <s v="East"/>
    <n v="2.0000000000000001E-4"/>
    <d v="2026-01-24T00:00:00"/>
    <n v="1647"/>
    <s v="Normal Merchant Day"/>
  </r>
  <r>
    <s v="TXN100200"/>
    <n v="169"/>
    <x v="30"/>
    <d v="2026-01-19T17:35:00"/>
    <n v="99"/>
    <s v="UPI"/>
    <x v="0"/>
    <n v="52"/>
    <s v="Merchant_008"/>
    <s v="food_delivery"/>
    <s v="North"/>
    <n v="2.0000000000000001E-4"/>
    <d v="2026-01-19T00:00:00"/>
    <n v="99"/>
    <s v="Normal Merchant Day"/>
  </r>
  <r>
    <s v="TXN100201"/>
    <n v="217"/>
    <x v="29"/>
    <d v="2026-01-12T21:48:00"/>
    <n v="49"/>
    <s v="UPI"/>
    <x v="0"/>
    <n v="36"/>
    <s v="Merchant_004"/>
    <s v="ecommerce"/>
    <s v="East"/>
    <n v="2.0000000000000001E-4"/>
    <d v="2026-01-12T00:00:00"/>
    <n v="49"/>
    <s v="Normal Merchant Day"/>
  </r>
  <r>
    <s v="TXN100202"/>
    <n v="54"/>
    <x v="21"/>
    <d v="2026-01-20T09:22:00"/>
    <n v="149"/>
    <s v="UPI"/>
    <x v="0"/>
    <n v="64"/>
    <s v="Merchant_037"/>
    <s v="entertainment"/>
    <s v="South"/>
    <n v="2.0000000000000001E-4"/>
    <d v="2026-01-20T00:00:00"/>
    <n v="149"/>
    <s v="Normal Merchant Day"/>
  </r>
  <r>
    <s v="TXN100203"/>
    <n v="247"/>
    <x v="19"/>
    <d v="2026-01-07T04:42:00"/>
    <n v="49"/>
    <s v="Card"/>
    <x v="0"/>
    <n v="13"/>
    <s v="Merchant_015"/>
    <s v="travel"/>
    <s v="North"/>
    <n v="1.4999999999999999E-2"/>
    <d v="2026-01-07T00:00:00"/>
    <n v="49"/>
    <s v="Normal Merchant Day"/>
  </r>
  <r>
    <s v="TXN100204"/>
    <n v="59"/>
    <x v="7"/>
    <d v="2026-01-12T17:23:00"/>
    <n v="49"/>
    <s v="Card"/>
    <x v="0"/>
    <n v="73"/>
    <s v="Merchant_018"/>
    <s v="grocery"/>
    <s v="West"/>
    <n v="1.4999999999999999E-2"/>
    <d v="2026-01-12T00:00:00"/>
    <n v="49"/>
    <s v="Normal Merchant Day"/>
  </r>
  <r>
    <s v="TXN100205"/>
    <n v="288"/>
    <x v="12"/>
    <d v="2026-01-08T13:54:00"/>
    <n v="49"/>
    <s v="UPI"/>
    <x v="1"/>
    <n v="78"/>
    <s v="Merchant_040"/>
    <s v="entertainment"/>
    <s v="South"/>
    <n v="2.0000000000000001E-4"/>
    <d v="2026-01-08T00:00:00"/>
    <n v="49"/>
    <s v="Normal Merchant Day"/>
  </r>
  <r>
    <s v="TXN100206"/>
    <n v="14"/>
    <x v="38"/>
    <d v="2026-01-22T20:35:00"/>
    <n v="799"/>
    <s v="UPI"/>
    <x v="0"/>
    <n v="84"/>
    <s v="Merchant_039"/>
    <s v="entertainment"/>
    <s v="North"/>
    <n v="2.0000000000000001E-4"/>
    <d v="2026-01-22T00:00:00"/>
    <n v="9796"/>
    <s v="High-Value Merchant Day"/>
  </r>
  <r>
    <s v="TXN100207"/>
    <n v="15"/>
    <x v="9"/>
    <d v="2026-01-27T22:17:00"/>
    <n v="149"/>
    <s v="UPI"/>
    <x v="0"/>
    <n v="34"/>
    <s v="Merchant_012"/>
    <s v="ecommerce"/>
    <s v="East"/>
    <n v="2.0000000000000001E-4"/>
    <d v="2026-01-27T00:00:00"/>
    <n v="149"/>
    <s v="Normal Merchant Day"/>
  </r>
  <r>
    <s v="TXN100208"/>
    <n v="174"/>
    <x v="5"/>
    <d v="2026-01-23T09:58:00"/>
    <n v="149"/>
    <s v="UPI"/>
    <x v="0"/>
    <n v="0"/>
    <s v="Merchant_023"/>
    <s v="travel"/>
    <s v="North"/>
    <n v="2.0000000000000001E-4"/>
    <d v="2026-01-23T00:00:00"/>
    <n v="247"/>
    <s v="Normal Merchant Day"/>
  </r>
  <r>
    <s v="TXN100209"/>
    <n v="337"/>
    <x v="22"/>
    <d v="2026-01-06T04:36:00"/>
    <n v="49"/>
    <s v="UPI"/>
    <x v="0"/>
    <n v="8"/>
    <s v="Merchant_026"/>
    <s v="food_delivery"/>
    <s v="East"/>
    <n v="2.0000000000000001E-4"/>
    <d v="2026-01-06T00:00:00"/>
    <n v="49"/>
    <s v="Normal Merchant Day"/>
  </r>
  <r>
    <s v="TXN100210"/>
    <n v="16"/>
    <x v="18"/>
    <d v="2026-01-05T23:40:00"/>
    <n v="1499"/>
    <s v="UPI"/>
    <x v="0"/>
    <n v="95"/>
    <s v="Merchant_006"/>
    <s v="food_delivery"/>
    <s v="South"/>
    <n v="2.0000000000000001E-4"/>
    <d v="2026-01-05T00:00:00"/>
    <n v="1499"/>
    <s v="Normal Merchant Day"/>
  </r>
  <r>
    <s v="TXN100211"/>
    <n v="215"/>
    <x v="24"/>
    <d v="2026-01-17T06:24:00"/>
    <n v="49"/>
    <s v="UPI"/>
    <x v="0"/>
    <n v="43"/>
    <s v="Merchant_030"/>
    <s v="travel"/>
    <s v="West"/>
    <n v="2.0000000000000001E-4"/>
    <d v="2026-01-17T00:00:00"/>
    <n v="49"/>
    <s v="Normal Merchant Day"/>
  </r>
  <r>
    <s v="TXN100212"/>
    <n v="167"/>
    <x v="21"/>
    <d v="2026-01-06T11:19:00"/>
    <n v="99"/>
    <s v="UPI"/>
    <x v="0"/>
    <n v="76"/>
    <s v="Merchant_037"/>
    <s v="entertainment"/>
    <s v="South"/>
    <n v="2.0000000000000001E-4"/>
    <d v="2026-01-06T00:00:00"/>
    <n v="99"/>
    <s v="Normal Merchant Day"/>
  </r>
  <r>
    <s v="TXN100213"/>
    <n v="81"/>
    <x v="12"/>
    <d v="2026-01-03T01:09:00"/>
    <n v="49"/>
    <s v="UPI"/>
    <x v="0"/>
    <n v="6"/>
    <s v="Merchant_040"/>
    <s v="entertainment"/>
    <s v="South"/>
    <n v="2.0000000000000001E-4"/>
    <d v="2026-01-03T00:00:00"/>
    <n v="49"/>
    <s v="Normal Merchant Day"/>
  </r>
  <r>
    <s v="TXN100214"/>
    <n v="227"/>
    <x v="10"/>
    <d v="2026-01-22T02:17:00"/>
    <n v="99"/>
    <s v="UPI"/>
    <x v="0"/>
    <n v="62"/>
    <s v="Merchant_028"/>
    <s v="ecommerce"/>
    <s v="South"/>
    <n v="2.0000000000000001E-4"/>
    <d v="2026-01-22T00:00:00"/>
    <n v="99"/>
    <s v="Normal Merchant Day"/>
  </r>
  <r>
    <s v="TXN100215"/>
    <n v="140"/>
    <x v="16"/>
    <d v="2026-01-20T14:26:00"/>
    <n v="299"/>
    <s v="Wallet"/>
    <x v="0"/>
    <n v="96"/>
    <s v="Merchant_014"/>
    <s v="grocery"/>
    <s v="East"/>
    <n v="5.0000000000000001E-4"/>
    <d v="2026-01-20T00:00:00"/>
    <n v="299"/>
    <s v="Normal Merchant Day"/>
  </r>
  <r>
    <s v="TXN100216"/>
    <n v="221"/>
    <x v="30"/>
    <d v="2026-01-17T03:22:00"/>
    <n v="299"/>
    <s v="UPI"/>
    <x v="0"/>
    <n v="36"/>
    <s v="Merchant_008"/>
    <s v="food_delivery"/>
    <s v="North"/>
    <n v="2.0000000000000001E-4"/>
    <d v="2026-01-17T00:00:00"/>
    <n v="348"/>
    <s v="Normal Merchant Day"/>
  </r>
  <r>
    <s v="TXN100217"/>
    <n v="250"/>
    <x v="36"/>
    <d v="2026-01-22T21:37:00"/>
    <n v="299"/>
    <s v="Wallet"/>
    <x v="0"/>
    <n v="85"/>
    <s v="Merchant_034"/>
    <s v="travel"/>
    <s v="South"/>
    <n v="5.0000000000000001E-4"/>
    <d v="2026-01-22T00:00:00"/>
    <n v="299"/>
    <s v="Normal Merchant Day"/>
  </r>
  <r>
    <s v="TXN100218"/>
    <n v="203"/>
    <x v="38"/>
    <d v="2026-01-10T01:14:00"/>
    <n v="49"/>
    <s v="UPI"/>
    <x v="0"/>
    <n v="7"/>
    <s v="Merchant_039"/>
    <s v="entertainment"/>
    <s v="North"/>
    <n v="2.0000000000000001E-4"/>
    <d v="2026-01-10T00:00:00"/>
    <n v="49"/>
    <s v="Normal Merchant Day"/>
  </r>
  <r>
    <s v="TXN100219"/>
    <n v="109"/>
    <x v="39"/>
    <d v="2026-01-01T06:19:00"/>
    <n v="499"/>
    <s v="Wallet"/>
    <x v="0"/>
    <n v="97"/>
    <s v="Merchant_009"/>
    <s v="ecommerce"/>
    <s v="North"/>
    <n v="5.0000000000000001E-4"/>
    <d v="2026-01-01T00:00:00"/>
    <n v="499"/>
    <s v="Normal Merchant Day"/>
  </r>
  <r>
    <s v="TXN100220"/>
    <n v="62"/>
    <x v="37"/>
    <d v="2026-01-09T09:20:00"/>
    <n v="4999"/>
    <s v="Wallet"/>
    <x v="0"/>
    <n v="63"/>
    <s v="Merchant_001"/>
    <s v="ecommerce"/>
    <s v="South"/>
    <n v="5.0000000000000001E-4"/>
    <d v="2026-01-09T00:00:00"/>
    <n v="5048"/>
    <s v="High-Value Merchant Day"/>
  </r>
  <r>
    <s v="TXN100221"/>
    <n v="67"/>
    <x v="14"/>
    <d v="2026-01-24T13:11:00"/>
    <n v="49"/>
    <s v="UPI"/>
    <x v="0"/>
    <n v="68"/>
    <s v="Merchant_025"/>
    <s v="travel"/>
    <s v="South"/>
    <n v="2.0000000000000001E-4"/>
    <d v="2026-01-24T00:00:00"/>
    <n v="497"/>
    <s v="Normal Merchant Day"/>
  </r>
  <r>
    <s v="TXN100222"/>
    <n v="287"/>
    <x v="5"/>
    <d v="2026-01-23T07:32:00"/>
    <n v="49"/>
    <s v="UPI"/>
    <x v="0"/>
    <n v="9"/>
    <s v="Merchant_023"/>
    <s v="travel"/>
    <s v="North"/>
    <n v="2.0000000000000001E-4"/>
    <d v="2026-01-23T00:00:00"/>
    <n v="247"/>
    <s v="Normal Merchant Day"/>
  </r>
  <r>
    <s v="TXN100223"/>
    <n v="224"/>
    <x v="27"/>
    <d v="2026-01-13T23:02:00"/>
    <n v="49"/>
    <s v="Card"/>
    <x v="0"/>
    <n v="58"/>
    <s v="Merchant_002"/>
    <s v="grocery"/>
    <s v="West"/>
    <n v="1.4999999999999999E-2"/>
    <d v="2026-01-13T00:00:00"/>
    <n v="49"/>
    <s v="Normal Merchant Day"/>
  </r>
  <r>
    <s v="TXN100224"/>
    <n v="161"/>
    <x v="21"/>
    <d v="2026-01-30T02:55:00"/>
    <n v="299"/>
    <s v="UPI"/>
    <x v="0"/>
    <n v="54"/>
    <s v="Merchant_037"/>
    <s v="entertainment"/>
    <s v="South"/>
    <n v="2.0000000000000001E-4"/>
    <d v="2026-01-30T00:00:00"/>
    <n v="299"/>
    <s v="Normal Merchant Day"/>
  </r>
  <r>
    <s v="TXN100225"/>
    <n v="328"/>
    <x v="1"/>
    <d v="2026-01-19T12:45:00"/>
    <n v="49"/>
    <s v="UPI"/>
    <x v="2"/>
    <n v="37"/>
    <s v="Merchant_027"/>
    <s v="ecommerce"/>
    <s v="North"/>
    <n v="2.0000000000000001E-4"/>
    <d v="2026-01-19T00:00:00"/>
    <n v="49"/>
    <s v="Normal Merchant Day"/>
  </r>
  <r>
    <s v="TXN100226"/>
    <n v="167"/>
    <x v="2"/>
    <d v="2026-01-04T12:01:00"/>
    <n v="1499"/>
    <s v="Card"/>
    <x v="1"/>
    <n v="79"/>
    <s v="Merchant_011"/>
    <s v="ecommerce"/>
    <s v="North"/>
    <n v="1.4999999999999999E-2"/>
    <d v="2026-01-04T00:00:00"/>
    <n v="1499"/>
    <s v="Normal Merchant Day"/>
  </r>
  <r>
    <s v="TXN100227"/>
    <n v="186"/>
    <x v="18"/>
    <d v="2026-01-15T22:58:00"/>
    <n v="49"/>
    <s v="Wallet"/>
    <x v="0"/>
    <n v="55"/>
    <s v="Merchant_006"/>
    <s v="food_delivery"/>
    <s v="South"/>
    <n v="5.0000000000000001E-4"/>
    <d v="2026-01-15T00:00:00"/>
    <n v="49"/>
    <s v="Normal Merchant Day"/>
  </r>
  <r>
    <s v="TXN100228"/>
    <n v="224"/>
    <x v="35"/>
    <d v="2026-01-28T03:15:00"/>
    <n v="299"/>
    <s v="Wallet"/>
    <x v="1"/>
    <n v="51"/>
    <s v="Merchant_038"/>
    <s v="grocery"/>
    <s v="East"/>
    <n v="5.0000000000000001E-4"/>
    <d v="2026-01-28T00:00:00"/>
    <n v="299"/>
    <s v="Normal Merchant Day"/>
  </r>
  <r>
    <s v="TXN100229"/>
    <n v="159"/>
    <x v="3"/>
    <d v="2026-01-17T02:25:00"/>
    <n v="799"/>
    <s v="UPI"/>
    <x v="0"/>
    <n v="28"/>
    <s v="Merchant_022"/>
    <s v="travel"/>
    <s v="South"/>
    <n v="2.0000000000000001E-4"/>
    <d v="2026-01-17T00:00:00"/>
    <n v="1598"/>
    <s v="Normal Merchant Day"/>
  </r>
  <r>
    <s v="TXN100230"/>
    <n v="262"/>
    <x v="30"/>
    <d v="2026-01-11T05:04:00"/>
    <n v="149"/>
    <s v="UPI"/>
    <x v="0"/>
    <n v="67"/>
    <s v="Merchant_008"/>
    <s v="food_delivery"/>
    <s v="North"/>
    <n v="2.0000000000000001E-4"/>
    <d v="2026-01-11T00:00:00"/>
    <n v="149"/>
    <s v="Normal Merchant Day"/>
  </r>
  <r>
    <s v="TXN100231"/>
    <n v="179"/>
    <x v="5"/>
    <d v="2026-01-17T06:57:00"/>
    <n v="49"/>
    <s v="Wallet"/>
    <x v="0"/>
    <n v="93"/>
    <s v="Merchant_023"/>
    <s v="travel"/>
    <s v="North"/>
    <n v="5.0000000000000001E-4"/>
    <d v="2026-01-17T00:00:00"/>
    <n v="49"/>
    <s v="Normal Merchant Day"/>
  </r>
  <r>
    <s v="TXN100232"/>
    <n v="76"/>
    <x v="0"/>
    <d v="2026-01-27T20:52:00"/>
    <n v="299"/>
    <s v="UPI"/>
    <x v="0"/>
    <n v="13"/>
    <s v="Merchant_016"/>
    <s v="bill_payment"/>
    <s v="West"/>
    <n v="2.0000000000000001E-4"/>
    <d v="2026-01-27T00:00:00"/>
    <n v="348"/>
    <s v="Normal Merchant Day"/>
  </r>
  <r>
    <s v="TXN100233"/>
    <n v="89"/>
    <x v="38"/>
    <d v="2026-01-05T08:12:00"/>
    <n v="299"/>
    <s v="UPI"/>
    <x v="0"/>
    <n v="19"/>
    <s v="Merchant_039"/>
    <s v="entertainment"/>
    <s v="North"/>
    <n v="2.0000000000000001E-4"/>
    <d v="2026-01-05T00:00:00"/>
    <n v="299"/>
    <s v="Normal Merchant Day"/>
  </r>
  <r>
    <s v="TXN100234"/>
    <n v="91"/>
    <x v="33"/>
    <d v="2026-01-25T20:04:00"/>
    <n v="49"/>
    <s v="UPI"/>
    <x v="0"/>
    <n v="59"/>
    <s v="Merchant_032"/>
    <s v="food_delivery"/>
    <s v="West"/>
    <n v="2.0000000000000001E-4"/>
    <d v="2026-01-25T00:00:00"/>
    <n v="49"/>
    <s v="Normal Merchant Day"/>
  </r>
  <r>
    <s v="TXN100235"/>
    <n v="297"/>
    <x v="26"/>
    <d v="2026-01-25T18:48:00"/>
    <n v="99"/>
    <s v="Card"/>
    <x v="2"/>
    <n v="87"/>
    <s v="Merchant_029"/>
    <s v="ecommerce"/>
    <s v="North"/>
    <n v="1.4999999999999999E-2"/>
    <d v="2026-01-25T00:00:00"/>
    <n v="3896"/>
    <s v="Normal Merchant Day"/>
  </r>
  <r>
    <s v="TXN100236"/>
    <n v="326"/>
    <x v="12"/>
    <d v="2026-01-30T18:41:00"/>
    <n v="499"/>
    <s v="Card"/>
    <x v="0"/>
    <n v="41"/>
    <s v="Merchant_040"/>
    <s v="entertainment"/>
    <s v="South"/>
    <n v="1.4999999999999999E-2"/>
    <d v="2026-01-30T00:00:00"/>
    <n v="499"/>
    <s v="Normal Merchant Day"/>
  </r>
  <r>
    <s v="TXN100237"/>
    <n v="78"/>
    <x v="26"/>
    <d v="2026-01-28T20:20:00"/>
    <n v="149"/>
    <s v="UPI"/>
    <x v="0"/>
    <n v="8"/>
    <s v="Merchant_029"/>
    <s v="ecommerce"/>
    <s v="North"/>
    <n v="2.0000000000000001E-4"/>
    <d v="2026-01-28T00:00:00"/>
    <n v="149"/>
    <s v="Normal Merchant Day"/>
  </r>
  <r>
    <s v="TXN100238"/>
    <n v="156"/>
    <x v="7"/>
    <d v="2026-01-16T14:40:00"/>
    <n v="2999"/>
    <s v="Card"/>
    <x v="0"/>
    <n v="75"/>
    <s v="Merchant_018"/>
    <s v="grocery"/>
    <s v="West"/>
    <n v="1.4999999999999999E-2"/>
    <d v="2026-01-16T00:00:00"/>
    <n v="3148"/>
    <s v="Normal Merchant Day"/>
  </r>
  <r>
    <s v="TXN100239"/>
    <n v="38"/>
    <x v="15"/>
    <d v="2026-01-02T11:32:00"/>
    <n v="49"/>
    <s v="Wallet"/>
    <x v="1"/>
    <n v="59"/>
    <s v="Merchant_020"/>
    <s v="food_delivery"/>
    <s v="East"/>
    <n v="5.0000000000000001E-4"/>
    <d v="2026-01-02T00:00:00"/>
    <n v="49"/>
    <s v="Normal Merchant Day"/>
  </r>
  <r>
    <s v="TXN100240"/>
    <n v="189"/>
    <x v="13"/>
    <d v="2026-01-15T01:03:00"/>
    <n v="99"/>
    <s v="UPI"/>
    <x v="1"/>
    <n v="9"/>
    <s v="Merchant_019"/>
    <s v="grocery"/>
    <s v="North"/>
    <n v="2.0000000000000001E-4"/>
    <d v="2026-01-15T00:00:00"/>
    <n v="398"/>
    <s v="Normal Merchant Day"/>
  </r>
  <r>
    <s v="TXN100241"/>
    <n v="305"/>
    <x v="11"/>
    <d v="2026-01-21T02:39:00"/>
    <n v="299"/>
    <s v="Card"/>
    <x v="0"/>
    <n v="49"/>
    <s v="Merchant_033"/>
    <s v="bill_payment"/>
    <s v="East"/>
    <n v="1.4999999999999999E-2"/>
    <d v="2026-01-21T00:00:00"/>
    <n v="3298"/>
    <s v="Normal Merchant Day"/>
  </r>
  <r>
    <s v="TXN100242"/>
    <n v="22"/>
    <x v="26"/>
    <d v="2026-01-15T18:35:00"/>
    <n v="799"/>
    <s v="UPI"/>
    <x v="0"/>
    <n v="73"/>
    <s v="Merchant_029"/>
    <s v="ecommerce"/>
    <s v="North"/>
    <n v="2.0000000000000001E-4"/>
    <d v="2026-01-15T00:00:00"/>
    <n v="1098"/>
    <s v="Normal Merchant Day"/>
  </r>
  <r>
    <s v="TXN100243"/>
    <n v="310"/>
    <x v="20"/>
    <d v="2026-01-21T06:20:00"/>
    <n v="49"/>
    <s v="Card"/>
    <x v="0"/>
    <n v="64"/>
    <s v="Merchant_031"/>
    <s v="bill_payment"/>
    <s v="East"/>
    <n v="1.4999999999999999E-2"/>
    <d v="2026-01-21T00:00:00"/>
    <n v="49"/>
    <s v="Normal Merchant Day"/>
  </r>
  <r>
    <s v="TXN100244"/>
    <n v="53"/>
    <x v="3"/>
    <d v="2026-01-05T01:28:00"/>
    <n v="299"/>
    <s v="UPI"/>
    <x v="0"/>
    <n v="91"/>
    <s v="Merchant_022"/>
    <s v="travel"/>
    <s v="South"/>
    <n v="2.0000000000000001E-4"/>
    <d v="2026-01-05T00:00:00"/>
    <n v="448"/>
    <s v="Normal Merchant Day"/>
  </r>
  <r>
    <s v="TXN100245"/>
    <n v="89"/>
    <x v="4"/>
    <d v="2026-01-03T16:41:00"/>
    <n v="149"/>
    <s v="Card"/>
    <x v="0"/>
    <n v="31"/>
    <s v="Merchant_003"/>
    <s v="grocery"/>
    <s v="East"/>
    <n v="1.4999999999999999E-2"/>
    <d v="2026-01-03T00:00:00"/>
    <n v="198"/>
    <s v="Normal Merchant Day"/>
  </r>
  <r>
    <s v="TXN100246"/>
    <n v="269"/>
    <x v="36"/>
    <d v="2026-01-23T14:28:00"/>
    <n v="149"/>
    <s v="UPI"/>
    <x v="0"/>
    <n v="78"/>
    <s v="Merchant_034"/>
    <s v="travel"/>
    <s v="South"/>
    <n v="2.0000000000000001E-4"/>
    <d v="2026-01-23T00:00:00"/>
    <n v="3148"/>
    <s v="Normal Merchant Day"/>
  </r>
  <r>
    <s v="TXN100247"/>
    <n v="145"/>
    <x v="14"/>
    <d v="2026-01-06T11:23:00"/>
    <n v="799"/>
    <s v="UPI"/>
    <x v="0"/>
    <n v="52"/>
    <s v="Merchant_025"/>
    <s v="travel"/>
    <s v="South"/>
    <n v="2.0000000000000001E-4"/>
    <d v="2026-01-06T00:00:00"/>
    <n v="898"/>
    <s v="Normal Merchant Day"/>
  </r>
  <r>
    <s v="TXN100248"/>
    <n v="307"/>
    <x v="29"/>
    <d v="2026-01-25T10:43:00"/>
    <n v="1499"/>
    <s v="UPI"/>
    <x v="0"/>
    <n v="80"/>
    <s v="Merchant_004"/>
    <s v="ecommerce"/>
    <s v="East"/>
    <n v="2.0000000000000001E-4"/>
    <d v="2026-01-25T00:00:00"/>
    <n v="1998"/>
    <s v="Normal Merchant Day"/>
  </r>
  <r>
    <s v="TXN100249"/>
    <n v="169"/>
    <x v="23"/>
    <d v="2026-01-21T10:04:00"/>
    <n v="1499"/>
    <s v="Wallet"/>
    <x v="0"/>
    <n v="71"/>
    <s v="Merchant_007"/>
    <s v="food_delivery"/>
    <s v="East"/>
    <n v="5.0000000000000001E-4"/>
    <d v="2026-01-21T00:00:00"/>
    <n v="1499"/>
    <s v="Normal Merchant Day"/>
  </r>
  <r>
    <s v="TXN100250"/>
    <n v="130"/>
    <x v="38"/>
    <d v="2026-01-22T12:18:00"/>
    <n v="2999"/>
    <s v="Wallet"/>
    <x v="0"/>
    <n v="19"/>
    <s v="Merchant_039"/>
    <s v="entertainment"/>
    <s v="North"/>
    <n v="5.0000000000000001E-4"/>
    <d v="2026-01-22T00:00:00"/>
    <n v="9796"/>
    <s v="High-Value Merchant Day"/>
  </r>
  <r>
    <s v="TXN100251"/>
    <n v="340"/>
    <x v="34"/>
    <d v="2026-01-11T02:37:00"/>
    <n v="49"/>
    <s v="Card"/>
    <x v="0"/>
    <n v="44"/>
    <s v="Merchant_010"/>
    <s v="grocery"/>
    <s v="West"/>
    <n v="1.4999999999999999E-2"/>
    <d v="2026-01-11T00:00:00"/>
    <n v="98"/>
    <s v="Normal Merchant Day"/>
  </r>
  <r>
    <s v="TXN100252"/>
    <n v="340"/>
    <x v="22"/>
    <d v="2026-01-10T20:44:00"/>
    <n v="299"/>
    <s v="Card"/>
    <x v="0"/>
    <n v="16"/>
    <s v="Merchant_026"/>
    <s v="food_delivery"/>
    <s v="East"/>
    <n v="1.4999999999999999E-2"/>
    <d v="2026-01-10T00:00:00"/>
    <n v="299"/>
    <s v="Normal Merchant Day"/>
  </r>
  <r>
    <s v="TXN100253"/>
    <n v="159"/>
    <x v="25"/>
    <d v="2026-01-20T22:05:00"/>
    <n v="49"/>
    <s v="UPI"/>
    <x v="0"/>
    <n v="48"/>
    <s v="Merchant_036"/>
    <s v="entertainment"/>
    <s v="East"/>
    <n v="2.0000000000000001E-4"/>
    <d v="2026-01-20T00:00:00"/>
    <n v="49"/>
    <s v="Normal Merchant Day"/>
  </r>
  <r>
    <s v="TXN100254"/>
    <n v="66"/>
    <x v="36"/>
    <d v="2026-01-21T10:52:00"/>
    <n v="799"/>
    <s v="UPI"/>
    <x v="0"/>
    <n v="11"/>
    <s v="Merchant_034"/>
    <s v="travel"/>
    <s v="South"/>
    <n v="2.0000000000000001E-4"/>
    <d v="2026-01-21T00:00:00"/>
    <n v="799"/>
    <s v="Normal Merchant Day"/>
  </r>
  <r>
    <s v="TXN100255"/>
    <n v="261"/>
    <x v="31"/>
    <d v="2026-01-21T21:27:00"/>
    <n v="799"/>
    <s v="Card"/>
    <x v="0"/>
    <n v="2"/>
    <s v="Merchant_024"/>
    <s v="grocery"/>
    <s v="North"/>
    <n v="1.4999999999999999E-2"/>
    <d v="2026-01-21T00:00:00"/>
    <n v="799"/>
    <s v="Normal Merchant Day"/>
  </r>
  <r>
    <s v="TXN100256"/>
    <n v="110"/>
    <x v="3"/>
    <d v="2026-01-12T09:11:00"/>
    <n v="799"/>
    <s v="UPI"/>
    <x v="0"/>
    <n v="98"/>
    <s v="Merchant_022"/>
    <s v="travel"/>
    <s v="South"/>
    <n v="2.0000000000000001E-4"/>
    <d v="2026-01-12T00:00:00"/>
    <n v="1697"/>
    <s v="Normal Merchant Day"/>
  </r>
  <r>
    <s v="TXN100257"/>
    <n v="71"/>
    <x v="34"/>
    <d v="2026-01-16T06:14:00"/>
    <n v="49"/>
    <s v="UPI"/>
    <x v="0"/>
    <n v="9"/>
    <s v="Merchant_010"/>
    <s v="grocery"/>
    <s v="West"/>
    <n v="2.0000000000000001E-4"/>
    <d v="2026-01-16T00:00:00"/>
    <n v="49"/>
    <s v="Normal Merchant Day"/>
  </r>
  <r>
    <s v="TXN100258"/>
    <n v="277"/>
    <x v="36"/>
    <d v="2026-01-10T03:32:00"/>
    <n v="49"/>
    <s v="UPI"/>
    <x v="0"/>
    <n v="4"/>
    <s v="Merchant_034"/>
    <s v="travel"/>
    <s v="South"/>
    <n v="2.0000000000000001E-4"/>
    <d v="2026-01-10T00:00:00"/>
    <n v="49"/>
    <s v="Normal Merchant Day"/>
  </r>
  <r>
    <s v="TXN100259"/>
    <n v="317"/>
    <x v="39"/>
    <d v="2026-01-22T10:56:00"/>
    <n v="499"/>
    <s v="Wallet"/>
    <x v="0"/>
    <n v="76"/>
    <s v="Merchant_009"/>
    <s v="ecommerce"/>
    <s v="North"/>
    <n v="5.0000000000000001E-4"/>
    <d v="2026-01-22T00:00:00"/>
    <n v="1298"/>
    <s v="Normal Merchant Day"/>
  </r>
  <r>
    <s v="TXN100260"/>
    <n v="93"/>
    <x v="12"/>
    <d v="2026-01-13T04:10:00"/>
    <n v="299"/>
    <s v="UPI"/>
    <x v="0"/>
    <n v="21"/>
    <s v="Merchant_040"/>
    <s v="entertainment"/>
    <s v="South"/>
    <n v="2.0000000000000001E-4"/>
    <d v="2026-01-13T00:00:00"/>
    <n v="299"/>
    <s v="Normal Merchant Day"/>
  </r>
  <r>
    <s v="TXN100261"/>
    <n v="211"/>
    <x v="31"/>
    <d v="2026-01-24T14:02:00"/>
    <n v="99"/>
    <s v="Netbanking"/>
    <x v="0"/>
    <n v="86"/>
    <s v="Merchant_024"/>
    <s v="grocery"/>
    <s v="North"/>
    <n v="0.01"/>
    <d v="2026-01-24T00:00:00"/>
    <n v="148"/>
    <s v="Normal Merchant Day"/>
  </r>
  <r>
    <s v="TXN100262"/>
    <n v="313"/>
    <x v="13"/>
    <d v="2026-01-24T07:28:00"/>
    <n v="149"/>
    <s v="UPI"/>
    <x v="0"/>
    <n v="96"/>
    <s v="Merchant_019"/>
    <s v="grocery"/>
    <s v="North"/>
    <n v="2.0000000000000001E-4"/>
    <d v="2026-01-24T00:00:00"/>
    <n v="149"/>
    <s v="Normal Merchant Day"/>
  </r>
  <r>
    <s v="TXN100263"/>
    <n v="274"/>
    <x v="0"/>
    <d v="2026-01-24T14:14:00"/>
    <n v="49"/>
    <s v="Wallet"/>
    <x v="1"/>
    <n v="39"/>
    <s v="Merchant_016"/>
    <s v="bill_payment"/>
    <s v="West"/>
    <n v="5.0000000000000001E-4"/>
    <d v="2026-01-24T00:00:00"/>
    <n v="1548"/>
    <s v="Normal Merchant Day"/>
  </r>
  <r>
    <s v="TXN100264"/>
    <n v="100"/>
    <x v="31"/>
    <d v="2026-01-26T15:57:00"/>
    <n v="299"/>
    <s v="UPI"/>
    <x v="0"/>
    <n v="86"/>
    <s v="Merchant_024"/>
    <s v="grocery"/>
    <s v="North"/>
    <n v="2.0000000000000001E-4"/>
    <d v="2026-01-26T00:00:00"/>
    <n v="348"/>
    <s v="Normal Merchant Day"/>
  </r>
  <r>
    <s v="TXN100265"/>
    <n v="145"/>
    <x v="14"/>
    <d v="2026-01-19T14:29:00"/>
    <n v="2999"/>
    <s v="Wallet"/>
    <x v="0"/>
    <n v="64"/>
    <s v="Merchant_025"/>
    <s v="travel"/>
    <s v="South"/>
    <n v="5.0000000000000001E-4"/>
    <d v="2026-01-19T00:00:00"/>
    <n v="4498"/>
    <s v="Normal Merchant Day"/>
  </r>
  <r>
    <s v="TXN100266"/>
    <n v="103"/>
    <x v="38"/>
    <d v="2026-01-17T13:10:00"/>
    <n v="2999"/>
    <s v="Wallet"/>
    <x v="0"/>
    <n v="17"/>
    <s v="Merchant_039"/>
    <s v="entertainment"/>
    <s v="North"/>
    <n v="5.0000000000000001E-4"/>
    <d v="2026-01-17T00:00:00"/>
    <n v="2999"/>
    <s v="Normal Merchant Day"/>
  </r>
  <r>
    <s v="TXN100267"/>
    <n v="329"/>
    <x v="20"/>
    <d v="2026-01-28T08:03:00"/>
    <n v="299"/>
    <s v="Wallet"/>
    <x v="0"/>
    <n v="47"/>
    <s v="Merchant_031"/>
    <s v="bill_payment"/>
    <s v="East"/>
    <n v="5.0000000000000001E-4"/>
    <d v="2026-01-28T00:00:00"/>
    <n v="299"/>
    <s v="Normal Merchant Day"/>
  </r>
  <r>
    <s v="TXN100268"/>
    <n v="265"/>
    <x v="30"/>
    <d v="2026-01-18T03:45:00"/>
    <n v="499"/>
    <s v="Netbanking"/>
    <x v="0"/>
    <n v="36"/>
    <s v="Merchant_008"/>
    <s v="food_delivery"/>
    <s v="North"/>
    <n v="0.01"/>
    <d v="2026-01-18T00:00:00"/>
    <n v="499"/>
    <s v="Normal Merchant Day"/>
  </r>
  <r>
    <s v="TXN100269"/>
    <n v="231"/>
    <x v="11"/>
    <d v="2026-01-03T05:17:00"/>
    <n v="149"/>
    <s v="UPI"/>
    <x v="1"/>
    <n v="18"/>
    <s v="Merchant_033"/>
    <s v="bill_payment"/>
    <s v="East"/>
    <n v="2.0000000000000001E-4"/>
    <d v="2026-01-03T00:00:00"/>
    <n v="149"/>
    <s v="Normal Merchant Day"/>
  </r>
  <r>
    <s v="TXN100270"/>
    <n v="114"/>
    <x v="26"/>
    <d v="2026-01-27T13:05:00"/>
    <n v="799"/>
    <s v="UPI"/>
    <x v="2"/>
    <n v="44"/>
    <s v="Merchant_029"/>
    <s v="ecommerce"/>
    <s v="North"/>
    <n v="2.0000000000000001E-4"/>
    <d v="2026-01-27T00:00:00"/>
    <n v="898"/>
    <s v="Normal Merchant Day"/>
  </r>
  <r>
    <s v="TXN100271"/>
    <n v="28"/>
    <x v="22"/>
    <d v="2026-01-30T00:26:00"/>
    <n v="1499"/>
    <s v="UPI"/>
    <x v="1"/>
    <n v="64"/>
    <s v="Merchant_026"/>
    <s v="food_delivery"/>
    <s v="East"/>
    <n v="2.0000000000000001E-4"/>
    <d v="2026-01-30T00:00:00"/>
    <n v="1499"/>
    <s v="Normal Merchant Day"/>
  </r>
  <r>
    <s v="TXN100272"/>
    <n v="42"/>
    <x v="31"/>
    <d v="2026-01-12T07:24:00"/>
    <n v="149"/>
    <s v="UPI"/>
    <x v="0"/>
    <n v="28"/>
    <s v="Merchant_024"/>
    <s v="grocery"/>
    <s v="North"/>
    <n v="2.0000000000000001E-4"/>
    <d v="2026-01-12T00:00:00"/>
    <n v="149"/>
    <s v="Normal Merchant Day"/>
  </r>
  <r>
    <s v="TXN100273"/>
    <n v="51"/>
    <x v="3"/>
    <d v="2026-01-01T10:59:00"/>
    <n v="799"/>
    <s v="UPI"/>
    <x v="0"/>
    <n v="18"/>
    <s v="Merchant_022"/>
    <s v="travel"/>
    <s v="South"/>
    <n v="2.0000000000000001E-4"/>
    <d v="2026-01-01T00:00:00"/>
    <n v="799"/>
    <s v="Normal Merchant Day"/>
  </r>
  <r>
    <s v="TXN100274"/>
    <n v="242"/>
    <x v="39"/>
    <d v="2026-01-05T01:18:00"/>
    <n v="149"/>
    <s v="UPI"/>
    <x v="0"/>
    <n v="97"/>
    <s v="Merchant_009"/>
    <s v="ecommerce"/>
    <s v="North"/>
    <n v="2.0000000000000001E-4"/>
    <d v="2026-01-05T00:00:00"/>
    <n v="149"/>
    <s v="Normal Merchant Day"/>
  </r>
  <r>
    <s v="TXN100275"/>
    <n v="316"/>
    <x v="37"/>
    <d v="2026-01-23T15:28:00"/>
    <n v="149"/>
    <s v="UPI"/>
    <x v="0"/>
    <n v="10"/>
    <s v="Merchant_001"/>
    <s v="ecommerce"/>
    <s v="South"/>
    <n v="2.0000000000000001E-4"/>
    <d v="2026-01-23T00:00:00"/>
    <n v="3148"/>
    <s v="Normal Merchant Day"/>
  </r>
  <r>
    <s v="TXN100276"/>
    <n v="77"/>
    <x v="25"/>
    <d v="2026-01-01T08:13:00"/>
    <n v="149"/>
    <s v="UPI"/>
    <x v="0"/>
    <n v="93"/>
    <s v="Merchant_036"/>
    <s v="entertainment"/>
    <s v="East"/>
    <n v="2.0000000000000001E-4"/>
    <d v="2026-01-01T00:00:00"/>
    <n v="149"/>
    <s v="Normal Merchant Day"/>
  </r>
  <r>
    <s v="TXN100277"/>
    <n v="57"/>
    <x v="13"/>
    <d v="2026-01-20T16:27:00"/>
    <n v="49"/>
    <s v="UPI"/>
    <x v="0"/>
    <n v="30"/>
    <s v="Merchant_019"/>
    <s v="grocery"/>
    <s v="North"/>
    <n v="2.0000000000000001E-4"/>
    <d v="2026-01-20T00:00:00"/>
    <n v="348"/>
    <s v="Normal Merchant Day"/>
  </r>
  <r>
    <s v="TXN100278"/>
    <n v="123"/>
    <x v="1"/>
    <d v="2026-01-10T03:03:00"/>
    <n v="149"/>
    <s v="Netbanking"/>
    <x v="0"/>
    <n v="81"/>
    <s v="Merchant_027"/>
    <s v="ecommerce"/>
    <s v="North"/>
    <n v="0.01"/>
    <d v="2026-01-10T00:00:00"/>
    <n v="149"/>
    <s v="Normal Merchant Day"/>
  </r>
  <r>
    <s v="TXN100279"/>
    <n v="33"/>
    <x v="30"/>
    <d v="2026-01-26T19:29:00"/>
    <n v="299"/>
    <s v="Wallet"/>
    <x v="0"/>
    <n v="63"/>
    <s v="Merchant_008"/>
    <s v="food_delivery"/>
    <s v="North"/>
    <n v="5.0000000000000001E-4"/>
    <d v="2026-01-26T00:00:00"/>
    <n v="598"/>
    <s v="Normal Merchant Day"/>
  </r>
  <r>
    <s v="TXN100280"/>
    <n v="324"/>
    <x v="11"/>
    <d v="2026-01-20T17:01:00"/>
    <n v="499"/>
    <s v="UPI"/>
    <x v="0"/>
    <n v="73"/>
    <s v="Merchant_033"/>
    <s v="bill_payment"/>
    <s v="East"/>
    <n v="2.0000000000000001E-4"/>
    <d v="2026-01-20T00:00:00"/>
    <n v="499"/>
    <s v="Normal Merchant Day"/>
  </r>
  <r>
    <s v="TXN100281"/>
    <n v="150"/>
    <x v="10"/>
    <d v="2026-01-08T22:09:00"/>
    <n v="49"/>
    <s v="UPI"/>
    <x v="1"/>
    <n v="0"/>
    <s v="Merchant_028"/>
    <s v="ecommerce"/>
    <s v="South"/>
    <n v="2.0000000000000001E-4"/>
    <d v="2026-01-08T00:00:00"/>
    <n v="49"/>
    <s v="Normal Merchant Day"/>
  </r>
  <r>
    <s v="TXN100282"/>
    <n v="293"/>
    <x v="1"/>
    <d v="2026-01-20T11:15:00"/>
    <n v="4999"/>
    <s v="UPI"/>
    <x v="0"/>
    <n v="23"/>
    <s v="Merchant_027"/>
    <s v="ecommerce"/>
    <s v="North"/>
    <n v="2.0000000000000001E-4"/>
    <d v="2026-01-20T00:00:00"/>
    <n v="4999"/>
    <s v="Normal Merchant Day"/>
  </r>
  <r>
    <s v="TXN100283"/>
    <n v="269"/>
    <x v="31"/>
    <d v="2026-01-22T21:05:00"/>
    <n v="49"/>
    <s v="Wallet"/>
    <x v="0"/>
    <n v="8"/>
    <s v="Merchant_024"/>
    <s v="grocery"/>
    <s v="North"/>
    <n v="5.0000000000000001E-4"/>
    <d v="2026-01-22T00:00:00"/>
    <n v="49"/>
    <s v="Normal Merchant Day"/>
  </r>
  <r>
    <s v="TXN100284"/>
    <n v="260"/>
    <x v="25"/>
    <d v="2026-01-17T17:32:00"/>
    <n v="1499"/>
    <s v="UPI"/>
    <x v="0"/>
    <n v="2"/>
    <s v="Merchant_036"/>
    <s v="entertainment"/>
    <s v="East"/>
    <n v="2.0000000000000001E-4"/>
    <d v="2026-01-17T00:00:00"/>
    <n v="1499"/>
    <s v="Normal Merchant Day"/>
  </r>
  <r>
    <s v="TXN100285"/>
    <n v="326"/>
    <x v="14"/>
    <d v="2026-01-13T15:02:00"/>
    <n v="49"/>
    <s v="UPI"/>
    <x v="0"/>
    <n v="47"/>
    <s v="Merchant_025"/>
    <s v="travel"/>
    <s v="South"/>
    <n v="2.0000000000000001E-4"/>
    <d v="2026-01-13T00:00:00"/>
    <n v="49"/>
    <s v="Normal Merchant Day"/>
  </r>
  <r>
    <s v="TXN100286"/>
    <n v="183"/>
    <x v="32"/>
    <d v="2026-01-09T23:01:00"/>
    <n v="49"/>
    <s v="Card"/>
    <x v="0"/>
    <n v="44"/>
    <s v="Merchant_005"/>
    <s v="recharge"/>
    <s v="South"/>
    <n v="1.4999999999999999E-2"/>
    <d v="2026-01-09T00:00:00"/>
    <n v="348"/>
    <s v="Normal Merchant Day"/>
  </r>
  <r>
    <s v="TXN100287"/>
    <n v="322"/>
    <x v="23"/>
    <d v="2026-01-08T23:42:00"/>
    <n v="299"/>
    <s v="UPI"/>
    <x v="0"/>
    <n v="98"/>
    <s v="Merchant_007"/>
    <s v="food_delivery"/>
    <s v="East"/>
    <n v="2.0000000000000001E-4"/>
    <d v="2026-01-08T00:00:00"/>
    <n v="299"/>
    <s v="Normal Merchant Day"/>
  </r>
  <r>
    <s v="TXN100288"/>
    <n v="171"/>
    <x v="39"/>
    <d v="2026-01-19T23:48:00"/>
    <n v="299"/>
    <s v="UPI"/>
    <x v="0"/>
    <n v="5"/>
    <s v="Merchant_009"/>
    <s v="ecommerce"/>
    <s v="North"/>
    <n v="2.0000000000000001E-4"/>
    <d v="2026-01-19T00:00:00"/>
    <n v="299"/>
    <s v="Normal Merchant Day"/>
  </r>
  <r>
    <s v="TXN100289"/>
    <n v="330"/>
    <x v="9"/>
    <d v="2026-01-12T17:21:00"/>
    <n v="1499"/>
    <s v="Netbanking"/>
    <x v="0"/>
    <n v="99"/>
    <s v="Merchant_012"/>
    <s v="ecommerce"/>
    <s v="East"/>
    <n v="0.01"/>
    <d v="2026-01-12T00:00:00"/>
    <n v="1998"/>
    <s v="Normal Merchant Day"/>
  </r>
  <r>
    <s v="TXN100290"/>
    <n v="246"/>
    <x v="9"/>
    <d v="2026-01-22T14:44:00"/>
    <n v="99"/>
    <s v="Wallet"/>
    <x v="0"/>
    <n v="17"/>
    <s v="Merchant_012"/>
    <s v="ecommerce"/>
    <s v="East"/>
    <n v="5.0000000000000001E-4"/>
    <d v="2026-01-22T00:00:00"/>
    <n v="99"/>
    <s v="Normal Merchant Day"/>
  </r>
  <r>
    <s v="TXN100291"/>
    <n v="235"/>
    <x v="4"/>
    <d v="2026-01-03T22:49:00"/>
    <n v="49"/>
    <s v="UPI"/>
    <x v="0"/>
    <n v="37"/>
    <s v="Merchant_003"/>
    <s v="grocery"/>
    <s v="East"/>
    <n v="2.0000000000000001E-4"/>
    <d v="2026-01-03T00:00:00"/>
    <n v="198"/>
    <s v="Normal Merchant Day"/>
  </r>
  <r>
    <s v="TXN100292"/>
    <n v="103"/>
    <x v="4"/>
    <d v="2026-01-07T01:50:00"/>
    <n v="499"/>
    <s v="UPI"/>
    <x v="0"/>
    <n v="40"/>
    <s v="Merchant_003"/>
    <s v="grocery"/>
    <s v="East"/>
    <n v="2.0000000000000001E-4"/>
    <d v="2026-01-07T00:00:00"/>
    <n v="798"/>
    <s v="Normal Merchant Day"/>
  </r>
  <r>
    <s v="TXN100293"/>
    <n v="204"/>
    <x v="8"/>
    <d v="2026-01-30T09:32:00"/>
    <n v="99"/>
    <s v="Wallet"/>
    <x v="0"/>
    <n v="60"/>
    <s v="Merchant_035"/>
    <s v="recharge"/>
    <s v="East"/>
    <n v="5.0000000000000001E-4"/>
    <d v="2026-01-30T00:00:00"/>
    <n v="99"/>
    <s v="Normal Merchant Day"/>
  </r>
  <r>
    <s v="TXN100294"/>
    <n v="332"/>
    <x v="6"/>
    <d v="2026-01-09T01:48:00"/>
    <n v="49"/>
    <s v="Card"/>
    <x v="0"/>
    <n v="36"/>
    <s v="Merchant_013"/>
    <s v="travel"/>
    <s v="East"/>
    <n v="1.4999999999999999E-2"/>
    <d v="2026-01-09T00:00:00"/>
    <n v="198"/>
    <s v="Normal Merchant Day"/>
  </r>
  <r>
    <s v="TXN100295"/>
    <n v="336"/>
    <x v="3"/>
    <d v="2026-01-12T01:55:00"/>
    <n v="499"/>
    <s v="UPI"/>
    <x v="0"/>
    <n v="34"/>
    <s v="Merchant_022"/>
    <s v="travel"/>
    <s v="South"/>
    <n v="2.0000000000000001E-4"/>
    <d v="2026-01-12T00:00:00"/>
    <n v="1697"/>
    <s v="Normal Merchant Day"/>
  </r>
  <r>
    <s v="TXN100296"/>
    <n v="205"/>
    <x v="26"/>
    <d v="2026-01-04T11:27:00"/>
    <n v="99"/>
    <s v="Wallet"/>
    <x v="0"/>
    <n v="49"/>
    <s v="Merchant_029"/>
    <s v="ecommerce"/>
    <s v="North"/>
    <n v="5.0000000000000001E-4"/>
    <d v="2026-01-04T00:00:00"/>
    <n v="99"/>
    <s v="Normal Merchant Day"/>
  </r>
  <r>
    <s v="TXN100297"/>
    <n v="255"/>
    <x v="31"/>
    <d v="2026-01-11T05:31:00"/>
    <n v="799"/>
    <s v="UPI"/>
    <x v="0"/>
    <n v="66"/>
    <s v="Merchant_024"/>
    <s v="grocery"/>
    <s v="North"/>
    <n v="2.0000000000000001E-4"/>
    <d v="2026-01-11T00:00:00"/>
    <n v="799"/>
    <s v="Normal Merchant Day"/>
  </r>
  <r>
    <s v="TXN100298"/>
    <n v="218"/>
    <x v="18"/>
    <d v="2026-01-09T02:46:00"/>
    <n v="99"/>
    <s v="UPI"/>
    <x v="0"/>
    <n v="55"/>
    <s v="Merchant_006"/>
    <s v="food_delivery"/>
    <s v="South"/>
    <n v="2.0000000000000001E-4"/>
    <d v="2026-01-09T00:00:00"/>
    <n v="99"/>
    <s v="Normal Merchant Day"/>
  </r>
  <r>
    <s v="TXN100299"/>
    <n v="151"/>
    <x v="17"/>
    <d v="2026-01-20T05:34:00"/>
    <n v="49"/>
    <s v="UPI"/>
    <x v="0"/>
    <n v="13"/>
    <s v="Merchant_021"/>
    <s v="food_delivery"/>
    <s v="East"/>
    <n v="2.0000000000000001E-4"/>
    <d v="2026-01-20T00:00:00"/>
    <n v="49"/>
    <s v="Normal Merchant Day"/>
  </r>
  <r>
    <s v="TXN100300"/>
    <n v="152"/>
    <x v="15"/>
    <d v="2026-01-03T10:42:00"/>
    <n v="49"/>
    <s v="UPI"/>
    <x v="0"/>
    <n v="57"/>
    <s v="Merchant_020"/>
    <s v="food_delivery"/>
    <s v="East"/>
    <n v="2.0000000000000001E-4"/>
    <d v="2026-01-03T00:00:00"/>
    <n v="348"/>
    <s v="Normal Merchant Day"/>
  </r>
  <r>
    <s v="TXN100301"/>
    <n v="86"/>
    <x v="26"/>
    <d v="2026-01-20T22:27:00"/>
    <n v="149"/>
    <s v="Card"/>
    <x v="0"/>
    <n v="44"/>
    <s v="Merchant_029"/>
    <s v="ecommerce"/>
    <s v="North"/>
    <n v="1.4999999999999999E-2"/>
    <d v="2026-01-20T00:00:00"/>
    <n v="149"/>
    <s v="Normal Merchant Day"/>
  </r>
  <r>
    <s v="TXN100302"/>
    <n v="181"/>
    <x v="12"/>
    <d v="2026-01-15T01:46:00"/>
    <n v="149"/>
    <s v="UPI"/>
    <x v="0"/>
    <n v="55"/>
    <s v="Merchant_040"/>
    <s v="entertainment"/>
    <s v="South"/>
    <n v="2.0000000000000001E-4"/>
    <d v="2026-01-15T00:00:00"/>
    <n v="149"/>
    <s v="Normal Merchant Day"/>
  </r>
  <r>
    <s v="TXN100303"/>
    <n v="30"/>
    <x v="32"/>
    <d v="2026-01-09T20:50:00"/>
    <n v="299"/>
    <s v="UPI"/>
    <x v="0"/>
    <n v="85"/>
    <s v="Merchant_005"/>
    <s v="recharge"/>
    <s v="South"/>
    <n v="2.0000000000000001E-4"/>
    <d v="2026-01-09T00:00:00"/>
    <n v="348"/>
    <s v="Normal Merchant Day"/>
  </r>
  <r>
    <s v="TXN100304"/>
    <n v="263"/>
    <x v="2"/>
    <d v="2026-01-21T12:23:00"/>
    <n v="149"/>
    <s v="Wallet"/>
    <x v="0"/>
    <n v="3"/>
    <s v="Merchant_011"/>
    <s v="ecommerce"/>
    <s v="North"/>
    <n v="5.0000000000000001E-4"/>
    <d v="2026-01-21T00:00:00"/>
    <n v="149"/>
    <s v="Normal Merchant Day"/>
  </r>
  <r>
    <s v="TXN100305"/>
    <n v="225"/>
    <x v="4"/>
    <d v="2026-01-05T19:43:00"/>
    <n v="99"/>
    <s v="Netbanking"/>
    <x v="0"/>
    <n v="16"/>
    <s v="Merchant_003"/>
    <s v="grocery"/>
    <s v="East"/>
    <n v="0.01"/>
    <d v="2026-01-05T00:00:00"/>
    <n v="99"/>
    <s v="Normal Merchant Day"/>
  </r>
  <r>
    <s v="TXN100306"/>
    <n v="331"/>
    <x v="31"/>
    <d v="2026-01-03T07:49:00"/>
    <n v="49"/>
    <s v="Card"/>
    <x v="0"/>
    <n v="46"/>
    <s v="Merchant_024"/>
    <s v="grocery"/>
    <s v="North"/>
    <n v="1.4999999999999999E-2"/>
    <d v="2026-01-03T00:00:00"/>
    <n v="49"/>
    <s v="Normal Merchant Day"/>
  </r>
  <r>
    <s v="TXN100307"/>
    <n v="310"/>
    <x v="34"/>
    <d v="2026-01-13T18:02:00"/>
    <n v="1499"/>
    <s v="Card"/>
    <x v="0"/>
    <n v="86"/>
    <s v="Merchant_010"/>
    <s v="grocery"/>
    <s v="West"/>
    <n v="1.4999999999999999E-2"/>
    <d v="2026-01-13T00:00:00"/>
    <n v="1499"/>
    <s v="Normal Merchant Day"/>
  </r>
  <r>
    <s v="TXN100308"/>
    <n v="228"/>
    <x v="32"/>
    <d v="2026-01-15T11:23:00"/>
    <n v="49"/>
    <s v="UPI"/>
    <x v="0"/>
    <n v="73"/>
    <s v="Merchant_005"/>
    <s v="recharge"/>
    <s v="South"/>
    <n v="2.0000000000000001E-4"/>
    <d v="2026-01-15T00:00:00"/>
    <n v="548"/>
    <s v="Normal Merchant Day"/>
  </r>
  <r>
    <s v="TXN100309"/>
    <n v="204"/>
    <x v="17"/>
    <d v="2026-01-05T16:23:00"/>
    <n v="499"/>
    <s v="UPI"/>
    <x v="0"/>
    <n v="83"/>
    <s v="Merchant_021"/>
    <s v="food_delivery"/>
    <s v="East"/>
    <n v="2.0000000000000001E-4"/>
    <d v="2026-01-05T00:00:00"/>
    <n v="499"/>
    <s v="Normal Merchant Day"/>
  </r>
  <r>
    <s v="TXN100310"/>
    <n v="14"/>
    <x v="9"/>
    <d v="2026-01-09T07:07:00"/>
    <n v="799"/>
    <s v="Netbanking"/>
    <x v="0"/>
    <n v="63"/>
    <s v="Merchant_012"/>
    <s v="ecommerce"/>
    <s v="East"/>
    <n v="0.01"/>
    <d v="2026-01-09T00:00:00"/>
    <n v="799"/>
    <s v="Normal Merchant Day"/>
  </r>
  <r>
    <s v="TXN100311"/>
    <n v="288"/>
    <x v="30"/>
    <d v="2026-01-17T12:58:00"/>
    <n v="49"/>
    <s v="UPI"/>
    <x v="0"/>
    <n v="33"/>
    <s v="Merchant_008"/>
    <s v="food_delivery"/>
    <s v="North"/>
    <n v="2.0000000000000001E-4"/>
    <d v="2026-01-17T00:00:00"/>
    <n v="348"/>
    <s v="Normal Merchant Day"/>
  </r>
  <r>
    <s v="TXN100312"/>
    <n v="229"/>
    <x v="16"/>
    <d v="2026-01-25T08:45:00"/>
    <n v="1499"/>
    <s v="UPI"/>
    <x v="0"/>
    <n v="78"/>
    <s v="Merchant_014"/>
    <s v="grocery"/>
    <s v="East"/>
    <n v="2.0000000000000001E-4"/>
    <d v="2026-01-25T00:00:00"/>
    <n v="1598"/>
    <s v="Normal Merchant Day"/>
  </r>
  <r>
    <s v="TXN100313"/>
    <n v="252"/>
    <x v="6"/>
    <d v="2026-01-10T22:58:00"/>
    <n v="99"/>
    <s v="Wallet"/>
    <x v="0"/>
    <n v="15"/>
    <s v="Merchant_013"/>
    <s v="travel"/>
    <s v="East"/>
    <n v="5.0000000000000001E-4"/>
    <d v="2026-01-10T00:00:00"/>
    <n v="99"/>
    <s v="Normal Merchant Day"/>
  </r>
  <r>
    <s v="TXN100314"/>
    <n v="89"/>
    <x v="26"/>
    <d v="2026-01-05T02:28:00"/>
    <n v="799"/>
    <s v="UPI"/>
    <x v="0"/>
    <n v="11"/>
    <s v="Merchant_029"/>
    <s v="ecommerce"/>
    <s v="North"/>
    <n v="2.0000000000000001E-4"/>
    <d v="2026-01-05T00:00:00"/>
    <n v="799"/>
    <s v="Normal Merchant Day"/>
  </r>
  <r>
    <s v="TXN100315"/>
    <n v="164"/>
    <x v="5"/>
    <d v="2026-01-26T21:54:00"/>
    <n v="49"/>
    <s v="Netbanking"/>
    <x v="0"/>
    <n v="90"/>
    <s v="Merchant_023"/>
    <s v="travel"/>
    <s v="North"/>
    <n v="0.01"/>
    <d v="2026-01-26T00:00:00"/>
    <n v="49"/>
    <s v="Normal Merchant Day"/>
  </r>
  <r>
    <s v="TXN100316"/>
    <n v="149"/>
    <x v="15"/>
    <d v="2026-01-03T17:34:00"/>
    <n v="299"/>
    <s v="Wallet"/>
    <x v="0"/>
    <n v="20"/>
    <s v="Merchant_020"/>
    <s v="food_delivery"/>
    <s v="East"/>
    <n v="5.0000000000000001E-4"/>
    <d v="2026-01-03T00:00:00"/>
    <n v="348"/>
    <s v="Normal Merchant Day"/>
  </r>
  <r>
    <s v="TXN100317"/>
    <n v="327"/>
    <x v="9"/>
    <d v="2026-01-23T22:59:00"/>
    <n v="49"/>
    <s v="Netbanking"/>
    <x v="0"/>
    <n v="46"/>
    <s v="Merchant_012"/>
    <s v="ecommerce"/>
    <s v="East"/>
    <n v="0.01"/>
    <d v="2026-01-23T00:00:00"/>
    <n v="448"/>
    <s v="Normal Merchant Day"/>
  </r>
  <r>
    <s v="TXN100318"/>
    <n v="103"/>
    <x v="39"/>
    <d v="2026-01-17T07:07:00"/>
    <n v="149"/>
    <s v="UPI"/>
    <x v="0"/>
    <n v="30"/>
    <s v="Merchant_009"/>
    <s v="ecommerce"/>
    <s v="North"/>
    <n v="2.0000000000000001E-4"/>
    <d v="2026-01-17T00:00:00"/>
    <n v="248"/>
    <s v="Normal Merchant Day"/>
  </r>
  <r>
    <s v="TXN100319"/>
    <n v="185"/>
    <x v="25"/>
    <d v="2026-01-26T15:01:00"/>
    <n v="49"/>
    <s v="Wallet"/>
    <x v="0"/>
    <n v="73"/>
    <s v="Merchant_036"/>
    <s v="entertainment"/>
    <s v="East"/>
    <n v="5.0000000000000001E-4"/>
    <d v="2026-01-26T00:00:00"/>
    <n v="198"/>
    <s v="Normal Merchant Day"/>
  </r>
  <r>
    <s v="TXN100320"/>
    <n v="283"/>
    <x v="39"/>
    <d v="2026-01-12T14:51:00"/>
    <n v="299"/>
    <s v="UPI"/>
    <x v="0"/>
    <n v="78"/>
    <s v="Merchant_009"/>
    <s v="ecommerce"/>
    <s v="North"/>
    <n v="2.0000000000000001E-4"/>
    <d v="2026-01-12T00:00:00"/>
    <n v="299"/>
    <s v="Normal Merchant Day"/>
  </r>
  <r>
    <s v="TXN100321"/>
    <n v="159"/>
    <x v="22"/>
    <d v="2026-01-29T02:04:00"/>
    <n v="99"/>
    <s v="UPI"/>
    <x v="0"/>
    <n v="91"/>
    <s v="Merchant_026"/>
    <s v="food_delivery"/>
    <s v="East"/>
    <n v="2.0000000000000001E-4"/>
    <d v="2026-01-29T00:00:00"/>
    <n v="148"/>
    <s v="Normal Merchant Day"/>
  </r>
  <r>
    <s v="TXN100322"/>
    <n v="211"/>
    <x v="1"/>
    <d v="2026-01-24T15:33:00"/>
    <n v="99"/>
    <s v="Wallet"/>
    <x v="0"/>
    <n v="73"/>
    <s v="Merchant_027"/>
    <s v="ecommerce"/>
    <s v="North"/>
    <n v="5.0000000000000001E-4"/>
    <d v="2026-01-24T00:00:00"/>
    <n v="99"/>
    <s v="Normal Merchant Day"/>
  </r>
  <r>
    <s v="TXN100323"/>
    <n v="329"/>
    <x v="32"/>
    <d v="2026-01-03T04:20:00"/>
    <n v="499"/>
    <s v="Netbanking"/>
    <x v="0"/>
    <n v="57"/>
    <s v="Merchant_005"/>
    <s v="recharge"/>
    <s v="South"/>
    <n v="0.01"/>
    <d v="2026-01-03T00:00:00"/>
    <n v="499"/>
    <s v="Normal Merchant Day"/>
  </r>
  <r>
    <s v="TXN100324"/>
    <n v="177"/>
    <x v="39"/>
    <d v="2026-01-15T21:33:00"/>
    <n v="99"/>
    <s v="UPI"/>
    <x v="0"/>
    <n v="99"/>
    <s v="Merchant_009"/>
    <s v="ecommerce"/>
    <s v="North"/>
    <n v="2.0000000000000001E-4"/>
    <d v="2026-01-15T00:00:00"/>
    <n v="148"/>
    <s v="Normal Merchant Day"/>
  </r>
  <r>
    <s v="TXN100325"/>
    <n v="94"/>
    <x v="39"/>
    <d v="2026-01-18T20:37:00"/>
    <n v="299"/>
    <s v="UPI"/>
    <x v="0"/>
    <n v="55"/>
    <s v="Merchant_009"/>
    <s v="ecommerce"/>
    <s v="North"/>
    <n v="2.0000000000000001E-4"/>
    <d v="2026-01-18T00:00:00"/>
    <n v="299"/>
    <s v="Normal Merchant Day"/>
  </r>
  <r>
    <s v="TXN100326"/>
    <n v="64"/>
    <x v="36"/>
    <d v="2026-01-17T01:53:00"/>
    <n v="299"/>
    <s v="UPI"/>
    <x v="0"/>
    <n v="19"/>
    <s v="Merchant_034"/>
    <s v="travel"/>
    <s v="South"/>
    <n v="2.0000000000000001E-4"/>
    <d v="2026-01-17T00:00:00"/>
    <n v="299"/>
    <s v="Normal Merchant Day"/>
  </r>
  <r>
    <s v="TXN100327"/>
    <n v="166"/>
    <x v="19"/>
    <d v="2026-01-10T05:10:00"/>
    <n v="49"/>
    <s v="UPI"/>
    <x v="0"/>
    <n v="44"/>
    <s v="Merchant_015"/>
    <s v="travel"/>
    <s v="North"/>
    <n v="2.0000000000000001E-4"/>
    <d v="2026-01-10T00:00:00"/>
    <n v="49"/>
    <s v="Normal Merchant Day"/>
  </r>
  <r>
    <s v="TXN100328"/>
    <n v="41"/>
    <x v="28"/>
    <d v="2026-01-17T09:54:00"/>
    <n v="299"/>
    <s v="Wallet"/>
    <x v="0"/>
    <n v="25"/>
    <s v="Merchant_017"/>
    <s v="grocery"/>
    <s v="North"/>
    <n v="5.0000000000000001E-4"/>
    <d v="2026-01-17T00:00:00"/>
    <n v="299"/>
    <s v="Normal Merchant Day"/>
  </r>
  <r>
    <s v="TXN100329"/>
    <n v="65"/>
    <x v="15"/>
    <d v="2026-01-21T17:17:00"/>
    <n v="99"/>
    <s v="Card"/>
    <x v="0"/>
    <n v="78"/>
    <s v="Merchant_020"/>
    <s v="food_delivery"/>
    <s v="East"/>
    <n v="1.4999999999999999E-2"/>
    <d v="2026-01-21T00:00:00"/>
    <n v="99"/>
    <s v="Normal Merchant Day"/>
  </r>
  <r>
    <s v="TXN100330"/>
    <n v="329"/>
    <x v="2"/>
    <d v="2026-01-18T02:32:00"/>
    <n v="499"/>
    <s v="UPI"/>
    <x v="0"/>
    <n v="75"/>
    <s v="Merchant_011"/>
    <s v="ecommerce"/>
    <s v="North"/>
    <n v="2.0000000000000001E-4"/>
    <d v="2026-01-18T00:00:00"/>
    <n v="499"/>
    <s v="Normal Merchant Day"/>
  </r>
  <r>
    <s v="TXN100331"/>
    <n v="338"/>
    <x v="12"/>
    <d v="2026-01-19T04:10:00"/>
    <n v="149"/>
    <s v="UPI"/>
    <x v="0"/>
    <n v="92"/>
    <s v="Merchant_040"/>
    <s v="entertainment"/>
    <s v="South"/>
    <n v="2.0000000000000001E-4"/>
    <d v="2026-01-19T00:00:00"/>
    <n v="648"/>
    <s v="Normal Merchant Day"/>
  </r>
  <r>
    <s v="TXN100332"/>
    <n v="289"/>
    <x v="4"/>
    <d v="2026-01-29T19:21:00"/>
    <n v="49"/>
    <s v="Netbanking"/>
    <x v="0"/>
    <n v="3"/>
    <s v="Merchant_003"/>
    <s v="grocery"/>
    <s v="East"/>
    <n v="0.01"/>
    <d v="2026-01-29T00:00:00"/>
    <n v="49"/>
    <s v="Normal Merchant Day"/>
  </r>
  <r>
    <s v="TXN100333"/>
    <n v="296"/>
    <x v="28"/>
    <d v="2026-01-03T01:41:00"/>
    <n v="99"/>
    <s v="UPI"/>
    <x v="0"/>
    <n v="83"/>
    <s v="Merchant_017"/>
    <s v="grocery"/>
    <s v="North"/>
    <n v="2.0000000000000001E-4"/>
    <d v="2026-01-03T00:00:00"/>
    <n v="398"/>
    <s v="Normal Merchant Day"/>
  </r>
  <r>
    <s v="TXN100334"/>
    <n v="317"/>
    <x v="27"/>
    <d v="2026-01-07T18:26:00"/>
    <n v="499"/>
    <s v="Card"/>
    <x v="0"/>
    <n v="63"/>
    <s v="Merchant_002"/>
    <s v="grocery"/>
    <s v="West"/>
    <n v="1.4999999999999999E-2"/>
    <d v="2026-01-07T00:00:00"/>
    <n v="499"/>
    <s v="Normal Merchant Day"/>
  </r>
  <r>
    <s v="TXN100335"/>
    <n v="149"/>
    <x v="15"/>
    <d v="2026-01-29T20:34:00"/>
    <n v="499"/>
    <s v="Card"/>
    <x v="0"/>
    <n v="61"/>
    <s v="Merchant_020"/>
    <s v="food_delivery"/>
    <s v="East"/>
    <n v="1.4999999999999999E-2"/>
    <d v="2026-01-29T00:00:00"/>
    <n v="499"/>
    <s v="Normal Merchant Day"/>
  </r>
  <r>
    <s v="TXN100336"/>
    <n v="153"/>
    <x v="24"/>
    <d v="2026-01-08T21:25:00"/>
    <n v="299"/>
    <s v="UPI"/>
    <x v="0"/>
    <n v="9"/>
    <s v="Merchant_030"/>
    <s v="travel"/>
    <s v="West"/>
    <n v="2.0000000000000001E-4"/>
    <d v="2026-01-08T00:00:00"/>
    <n v="1197"/>
    <s v="Normal Merchant Day"/>
  </r>
  <r>
    <s v="TXN100337"/>
    <n v="226"/>
    <x v="1"/>
    <d v="2026-01-23T01:10:00"/>
    <n v="2999"/>
    <s v="UPI"/>
    <x v="2"/>
    <n v="61"/>
    <s v="Merchant_027"/>
    <s v="ecommerce"/>
    <s v="North"/>
    <n v="2.0000000000000001E-4"/>
    <d v="2026-01-23T00:00:00"/>
    <n v="3998"/>
    <s v="Normal Merchant Day"/>
  </r>
  <r>
    <s v="TXN100338"/>
    <n v="311"/>
    <x v="34"/>
    <d v="2026-01-15T06:21:00"/>
    <n v="2999"/>
    <s v="UPI"/>
    <x v="0"/>
    <n v="40"/>
    <s v="Merchant_010"/>
    <s v="grocery"/>
    <s v="West"/>
    <n v="2.0000000000000001E-4"/>
    <d v="2026-01-15T00:00:00"/>
    <n v="2999"/>
    <s v="Normal Merchant Day"/>
  </r>
  <r>
    <s v="TXN100339"/>
    <n v="177"/>
    <x v="22"/>
    <d v="2026-01-28T22:20:00"/>
    <n v="1499"/>
    <s v="UPI"/>
    <x v="0"/>
    <n v="16"/>
    <s v="Merchant_026"/>
    <s v="food_delivery"/>
    <s v="East"/>
    <n v="2.0000000000000001E-4"/>
    <d v="2026-01-28T00:00:00"/>
    <n v="1499"/>
    <s v="Normal Merchant Day"/>
  </r>
  <r>
    <s v="TXN100340"/>
    <n v="288"/>
    <x v="23"/>
    <d v="2026-01-25T11:32:00"/>
    <n v="99"/>
    <s v="Netbanking"/>
    <x v="0"/>
    <n v="40"/>
    <s v="Merchant_007"/>
    <s v="food_delivery"/>
    <s v="East"/>
    <n v="0.01"/>
    <d v="2026-01-25T00:00:00"/>
    <n v="99"/>
    <s v="Normal Merchant Day"/>
  </r>
  <r>
    <s v="TXN100341"/>
    <n v="137"/>
    <x v="26"/>
    <d v="2026-01-08T14:07:00"/>
    <n v="2999"/>
    <s v="UPI"/>
    <x v="1"/>
    <n v="31"/>
    <s v="Merchant_029"/>
    <s v="ecommerce"/>
    <s v="North"/>
    <n v="2.0000000000000001E-4"/>
    <d v="2026-01-08T00:00:00"/>
    <n v="2999"/>
    <s v="Normal Merchant Day"/>
  </r>
  <r>
    <s v="TXN100342"/>
    <n v="149"/>
    <x v="14"/>
    <d v="2026-01-05T03:03:00"/>
    <n v="1499"/>
    <s v="UPI"/>
    <x v="0"/>
    <n v="78"/>
    <s v="Merchant_025"/>
    <s v="travel"/>
    <s v="South"/>
    <n v="2.0000000000000001E-4"/>
    <d v="2026-01-05T00:00:00"/>
    <n v="4498"/>
    <s v="Normal Merchant Day"/>
  </r>
  <r>
    <s v="TXN100343"/>
    <n v="82"/>
    <x v="17"/>
    <d v="2026-01-14T07:55:00"/>
    <n v="49"/>
    <s v="Wallet"/>
    <x v="0"/>
    <n v="73"/>
    <s v="Merchant_021"/>
    <s v="food_delivery"/>
    <s v="East"/>
    <n v="5.0000000000000001E-4"/>
    <d v="2026-01-14T00:00:00"/>
    <n v="49"/>
    <s v="Normal Merchant Day"/>
  </r>
  <r>
    <s v="TXN100344"/>
    <n v="82"/>
    <x v="33"/>
    <d v="2026-01-24T10:12:00"/>
    <n v="49"/>
    <s v="UPI"/>
    <x v="0"/>
    <n v="65"/>
    <s v="Merchant_032"/>
    <s v="food_delivery"/>
    <s v="West"/>
    <n v="2.0000000000000001E-4"/>
    <d v="2026-01-24T00:00:00"/>
    <n v="49"/>
    <s v="Normal Merchant Day"/>
  </r>
  <r>
    <s v="TXN100345"/>
    <n v="158"/>
    <x v="33"/>
    <d v="2026-01-15T15:56:00"/>
    <n v="99"/>
    <s v="Wallet"/>
    <x v="0"/>
    <n v="2"/>
    <s v="Merchant_032"/>
    <s v="food_delivery"/>
    <s v="West"/>
    <n v="5.0000000000000001E-4"/>
    <d v="2026-01-15T00:00:00"/>
    <n v="148"/>
    <s v="Normal Merchant Day"/>
  </r>
  <r>
    <s v="TXN100346"/>
    <n v="235"/>
    <x v="0"/>
    <d v="2026-01-03T12:32:00"/>
    <n v="99"/>
    <s v="UPI"/>
    <x v="0"/>
    <n v="27"/>
    <s v="Merchant_016"/>
    <s v="bill_payment"/>
    <s v="West"/>
    <n v="2.0000000000000001E-4"/>
    <d v="2026-01-03T00:00:00"/>
    <n v="99"/>
    <s v="Normal Merchant Day"/>
  </r>
  <r>
    <s v="TXN100347"/>
    <n v="26"/>
    <x v="13"/>
    <d v="2026-01-19T11:03:00"/>
    <n v="99"/>
    <s v="Wallet"/>
    <x v="0"/>
    <n v="63"/>
    <s v="Merchant_019"/>
    <s v="grocery"/>
    <s v="North"/>
    <n v="5.0000000000000001E-4"/>
    <d v="2026-01-19T00:00:00"/>
    <n v="99"/>
    <s v="Normal Merchant Day"/>
  </r>
  <r>
    <s v="TXN100348"/>
    <n v="241"/>
    <x v="13"/>
    <d v="2026-01-20T20:43:00"/>
    <n v="299"/>
    <s v="UPI"/>
    <x v="0"/>
    <n v="68"/>
    <s v="Merchant_019"/>
    <s v="grocery"/>
    <s v="North"/>
    <n v="2.0000000000000001E-4"/>
    <d v="2026-01-20T00:00:00"/>
    <n v="348"/>
    <s v="Normal Merchant Day"/>
  </r>
  <r>
    <s v="TXN100349"/>
    <n v="69"/>
    <x v="28"/>
    <d v="2026-01-01T03:27:00"/>
    <n v="1499"/>
    <s v="UPI"/>
    <x v="0"/>
    <n v="93"/>
    <s v="Merchant_017"/>
    <s v="grocery"/>
    <s v="North"/>
    <n v="2.0000000000000001E-4"/>
    <d v="2026-01-01T00:00:00"/>
    <n v="1499"/>
    <s v="Normal Merchant Day"/>
  </r>
  <r>
    <s v="TXN100350"/>
    <n v="24"/>
    <x v="22"/>
    <d v="2026-01-12T12:23:00"/>
    <n v="299"/>
    <s v="Netbanking"/>
    <x v="0"/>
    <n v="6"/>
    <s v="Merchant_026"/>
    <s v="food_delivery"/>
    <s v="East"/>
    <n v="0.01"/>
    <d v="2026-01-12T00:00:00"/>
    <n v="299"/>
    <s v="Normal Merchant Day"/>
  </r>
  <r>
    <s v="TXN100351"/>
    <n v="186"/>
    <x v="25"/>
    <d v="2026-01-19T17:12:00"/>
    <n v="4999"/>
    <s v="UPI"/>
    <x v="0"/>
    <n v="36"/>
    <s v="Merchant_036"/>
    <s v="entertainment"/>
    <s v="East"/>
    <n v="2.0000000000000001E-4"/>
    <d v="2026-01-19T00:00:00"/>
    <n v="4999"/>
    <s v="Normal Merchant Day"/>
  </r>
  <r>
    <s v="TXN100352"/>
    <n v="231"/>
    <x v="25"/>
    <d v="2026-01-03T12:32:00"/>
    <n v="149"/>
    <s v="UPI"/>
    <x v="0"/>
    <n v="35"/>
    <s v="Merchant_036"/>
    <s v="entertainment"/>
    <s v="East"/>
    <n v="2.0000000000000001E-4"/>
    <d v="2026-01-03T00:00:00"/>
    <n v="248"/>
    <s v="Normal Merchant Day"/>
  </r>
  <r>
    <s v="TXN100353"/>
    <n v="313"/>
    <x v="30"/>
    <d v="2026-01-27T19:43:00"/>
    <n v="1499"/>
    <s v="Netbanking"/>
    <x v="0"/>
    <n v="16"/>
    <s v="Merchant_008"/>
    <s v="food_delivery"/>
    <s v="North"/>
    <n v="0.01"/>
    <d v="2026-01-27T00:00:00"/>
    <n v="1499"/>
    <s v="Normal Merchant Day"/>
  </r>
  <r>
    <s v="TXN100354"/>
    <n v="174"/>
    <x v="25"/>
    <d v="2026-01-04T12:23:00"/>
    <n v="149"/>
    <s v="UPI"/>
    <x v="0"/>
    <n v="46"/>
    <s v="Merchant_036"/>
    <s v="entertainment"/>
    <s v="East"/>
    <n v="2.0000000000000001E-4"/>
    <d v="2026-01-04T00:00:00"/>
    <n v="149"/>
    <s v="Normal Merchant Day"/>
  </r>
  <r>
    <s v="TXN100355"/>
    <n v="309"/>
    <x v="11"/>
    <d v="2026-01-25T04:12:00"/>
    <n v="99"/>
    <s v="UPI"/>
    <x v="0"/>
    <n v="51"/>
    <s v="Merchant_033"/>
    <s v="bill_payment"/>
    <s v="East"/>
    <n v="2.0000000000000001E-4"/>
    <d v="2026-01-25T00:00:00"/>
    <n v="99"/>
    <s v="Normal Merchant Day"/>
  </r>
  <r>
    <s v="TXN100356"/>
    <n v="20"/>
    <x v="39"/>
    <d v="2026-01-17T01:02:00"/>
    <n v="99"/>
    <s v="UPI"/>
    <x v="0"/>
    <n v="91"/>
    <s v="Merchant_009"/>
    <s v="ecommerce"/>
    <s v="North"/>
    <n v="2.0000000000000001E-4"/>
    <d v="2026-01-17T00:00:00"/>
    <n v="248"/>
    <s v="Normal Merchant Day"/>
  </r>
  <r>
    <s v="TXN100357"/>
    <n v="234"/>
    <x v="34"/>
    <d v="2026-01-11T15:33:00"/>
    <n v="49"/>
    <s v="UPI"/>
    <x v="0"/>
    <n v="77"/>
    <s v="Merchant_010"/>
    <s v="grocery"/>
    <s v="West"/>
    <n v="2.0000000000000001E-4"/>
    <d v="2026-01-11T00:00:00"/>
    <n v="98"/>
    <s v="Normal Merchant Day"/>
  </r>
  <r>
    <s v="TXN100358"/>
    <n v="168"/>
    <x v="12"/>
    <d v="2026-01-29T16:08:00"/>
    <n v="149"/>
    <s v="UPI"/>
    <x v="2"/>
    <n v="40"/>
    <s v="Merchant_040"/>
    <s v="entertainment"/>
    <s v="South"/>
    <n v="2.0000000000000001E-4"/>
    <d v="2026-01-29T00:00:00"/>
    <n v="149"/>
    <s v="Normal Merchant Day"/>
  </r>
  <r>
    <s v="TXN100359"/>
    <n v="154"/>
    <x v="35"/>
    <d v="2026-01-06T12:39:00"/>
    <n v="99"/>
    <s v="Netbanking"/>
    <x v="0"/>
    <n v="43"/>
    <s v="Merchant_038"/>
    <s v="grocery"/>
    <s v="East"/>
    <n v="0.01"/>
    <d v="2026-01-06T00:00:00"/>
    <n v="99"/>
    <s v="Normal Merchant Day"/>
  </r>
  <r>
    <s v="TXN100360"/>
    <n v="251"/>
    <x v="21"/>
    <d v="2026-01-17T16:34:00"/>
    <n v="49"/>
    <s v="UPI"/>
    <x v="0"/>
    <n v="38"/>
    <s v="Merchant_037"/>
    <s v="entertainment"/>
    <s v="South"/>
    <n v="2.0000000000000001E-4"/>
    <d v="2026-01-17T00:00:00"/>
    <n v="49"/>
    <s v="Normal Merchant Day"/>
  </r>
  <r>
    <s v="TXN100361"/>
    <n v="170"/>
    <x v="30"/>
    <d v="2026-01-16T00:23:00"/>
    <n v="2999"/>
    <s v="UPI"/>
    <x v="0"/>
    <n v="53"/>
    <s v="Merchant_008"/>
    <s v="food_delivery"/>
    <s v="North"/>
    <n v="2.0000000000000001E-4"/>
    <d v="2026-01-16T00:00:00"/>
    <n v="2999"/>
    <s v="Normal Merchant Day"/>
  </r>
  <r>
    <s v="TXN100362"/>
    <n v="323"/>
    <x v="27"/>
    <d v="2026-01-19T09:50:00"/>
    <n v="49"/>
    <s v="Netbanking"/>
    <x v="0"/>
    <n v="76"/>
    <s v="Merchant_002"/>
    <s v="grocery"/>
    <s v="West"/>
    <n v="0.01"/>
    <d v="2026-01-19T00:00:00"/>
    <n v="49"/>
    <s v="Normal Merchant Day"/>
  </r>
  <r>
    <s v="TXN100363"/>
    <n v="297"/>
    <x v="21"/>
    <d v="2026-01-16T08:41:00"/>
    <n v="2999"/>
    <s v="Wallet"/>
    <x v="0"/>
    <n v="29"/>
    <s v="Merchant_037"/>
    <s v="entertainment"/>
    <s v="South"/>
    <n v="5.0000000000000001E-4"/>
    <d v="2026-01-16T00:00:00"/>
    <n v="2999"/>
    <s v="Normal Merchant Day"/>
  </r>
  <r>
    <s v="TXN100364"/>
    <n v="246"/>
    <x v="2"/>
    <d v="2026-01-24T01:37:00"/>
    <n v="299"/>
    <s v="UPI"/>
    <x v="0"/>
    <n v="67"/>
    <s v="Merchant_011"/>
    <s v="ecommerce"/>
    <s v="North"/>
    <n v="2.0000000000000001E-4"/>
    <d v="2026-01-24T00:00:00"/>
    <n v="1798"/>
    <s v="Normal Merchant Day"/>
  </r>
  <r>
    <s v="TXN100365"/>
    <n v="195"/>
    <x v="34"/>
    <d v="2026-01-21T23:39:00"/>
    <n v="99"/>
    <s v="UPI"/>
    <x v="0"/>
    <n v="87"/>
    <s v="Merchant_010"/>
    <s v="grocery"/>
    <s v="West"/>
    <n v="2.0000000000000001E-4"/>
    <d v="2026-01-21T00:00:00"/>
    <n v="398"/>
    <s v="Normal Merchant Day"/>
  </r>
  <r>
    <s v="TXN100366"/>
    <n v="57"/>
    <x v="6"/>
    <d v="2026-01-08T01:36:00"/>
    <n v="149"/>
    <s v="UPI"/>
    <x v="0"/>
    <n v="2"/>
    <s v="Merchant_013"/>
    <s v="travel"/>
    <s v="East"/>
    <n v="2.0000000000000001E-4"/>
    <d v="2026-01-08T00:00:00"/>
    <n v="149"/>
    <s v="Normal Merchant Day"/>
  </r>
  <r>
    <s v="TXN100367"/>
    <n v="78"/>
    <x v="1"/>
    <d v="2026-01-15T10:26:00"/>
    <n v="1499"/>
    <s v="Netbanking"/>
    <x v="1"/>
    <n v="88"/>
    <s v="Merchant_027"/>
    <s v="ecommerce"/>
    <s v="North"/>
    <n v="0.01"/>
    <d v="2026-01-15T00:00:00"/>
    <n v="1499"/>
    <s v="Normal Merchant Day"/>
  </r>
  <r>
    <s v="TXN100368"/>
    <n v="314"/>
    <x v="20"/>
    <d v="2026-01-07T13:32:00"/>
    <n v="49"/>
    <s v="UPI"/>
    <x v="2"/>
    <n v="94"/>
    <s v="Merchant_031"/>
    <s v="bill_payment"/>
    <s v="East"/>
    <n v="2.0000000000000001E-4"/>
    <d v="2026-01-07T00:00:00"/>
    <n v="49"/>
    <s v="Normal Merchant Day"/>
  </r>
  <r>
    <s v="TXN100369"/>
    <n v="71"/>
    <x v="36"/>
    <d v="2026-01-24T01:45:00"/>
    <n v="499"/>
    <s v="UPI"/>
    <x v="0"/>
    <n v="26"/>
    <s v="Merchant_034"/>
    <s v="travel"/>
    <s v="South"/>
    <n v="2.0000000000000001E-4"/>
    <d v="2026-01-24T00:00:00"/>
    <n v="548"/>
    <s v="Normal Merchant Day"/>
  </r>
  <r>
    <s v="TXN100370"/>
    <n v="245"/>
    <x v="36"/>
    <d v="2026-01-18T10:42:00"/>
    <n v="99"/>
    <s v="UPI"/>
    <x v="0"/>
    <n v="48"/>
    <s v="Merchant_034"/>
    <s v="travel"/>
    <s v="South"/>
    <n v="2.0000000000000001E-4"/>
    <d v="2026-01-18T00:00:00"/>
    <n v="148"/>
    <s v="Normal Merchant Day"/>
  </r>
  <r>
    <s v="TXN100371"/>
    <n v="273"/>
    <x v="3"/>
    <d v="2026-01-11T05:29:00"/>
    <n v="299"/>
    <s v="Wallet"/>
    <x v="0"/>
    <n v="69"/>
    <s v="Merchant_022"/>
    <s v="travel"/>
    <s v="South"/>
    <n v="5.0000000000000001E-4"/>
    <d v="2026-01-11T00:00:00"/>
    <n v="299"/>
    <s v="Normal Merchant Day"/>
  </r>
  <r>
    <s v="TXN100372"/>
    <n v="349"/>
    <x v="28"/>
    <d v="2026-01-12T21:49:00"/>
    <n v="1499"/>
    <s v="UPI"/>
    <x v="0"/>
    <n v="78"/>
    <s v="Merchant_017"/>
    <s v="grocery"/>
    <s v="North"/>
    <n v="2.0000000000000001E-4"/>
    <d v="2026-01-12T00:00:00"/>
    <n v="1499"/>
    <s v="Normal Merchant Day"/>
  </r>
  <r>
    <s v="TXN100373"/>
    <n v="143"/>
    <x v="25"/>
    <d v="2026-01-16T06:15:00"/>
    <n v="1499"/>
    <s v="Netbanking"/>
    <x v="0"/>
    <n v="38"/>
    <s v="Merchant_036"/>
    <s v="entertainment"/>
    <s v="East"/>
    <n v="0.01"/>
    <d v="2026-01-16T00:00:00"/>
    <n v="1499"/>
    <s v="Normal Merchant Day"/>
  </r>
  <r>
    <s v="TXN100374"/>
    <n v="148"/>
    <x v="16"/>
    <d v="2026-01-08T09:49:00"/>
    <n v="799"/>
    <s v="Wallet"/>
    <x v="0"/>
    <n v="88"/>
    <s v="Merchant_014"/>
    <s v="grocery"/>
    <s v="East"/>
    <n v="5.0000000000000001E-4"/>
    <d v="2026-01-08T00:00:00"/>
    <n v="799"/>
    <s v="Normal Merchant Day"/>
  </r>
  <r>
    <s v="TXN100375"/>
    <n v="246"/>
    <x v="5"/>
    <d v="2026-01-23T15:20:00"/>
    <n v="49"/>
    <s v="UPI"/>
    <x v="0"/>
    <n v="71"/>
    <s v="Merchant_023"/>
    <s v="travel"/>
    <s v="North"/>
    <n v="2.0000000000000001E-4"/>
    <d v="2026-01-23T00:00:00"/>
    <n v="247"/>
    <s v="Normal Merchant Day"/>
  </r>
  <r>
    <s v="TXN100376"/>
    <n v="148"/>
    <x v="30"/>
    <d v="2026-01-30T23:17:00"/>
    <n v="99"/>
    <s v="Wallet"/>
    <x v="0"/>
    <n v="73"/>
    <s v="Merchant_008"/>
    <s v="food_delivery"/>
    <s v="North"/>
    <n v="5.0000000000000001E-4"/>
    <d v="2026-01-30T00:00:00"/>
    <n v="99"/>
    <s v="Normal Merchant Day"/>
  </r>
  <r>
    <s v="TXN100377"/>
    <n v="203"/>
    <x v="5"/>
    <d v="2026-01-22T17:24:00"/>
    <n v="49"/>
    <s v="UPI"/>
    <x v="0"/>
    <n v="98"/>
    <s v="Merchant_023"/>
    <s v="travel"/>
    <s v="North"/>
    <n v="2.0000000000000001E-4"/>
    <d v="2026-01-22T00:00:00"/>
    <n v="49"/>
    <s v="Normal Merchant Day"/>
  </r>
  <r>
    <s v="TXN100378"/>
    <n v="22"/>
    <x v="13"/>
    <d v="2026-01-26T04:18:00"/>
    <n v="49"/>
    <s v="Card"/>
    <x v="0"/>
    <n v="91"/>
    <s v="Merchant_019"/>
    <s v="grocery"/>
    <s v="North"/>
    <n v="1.4999999999999999E-2"/>
    <d v="2026-01-26T00:00:00"/>
    <n v="49"/>
    <s v="Normal Merchant Day"/>
  </r>
  <r>
    <s v="TXN100379"/>
    <n v="227"/>
    <x v="28"/>
    <d v="2026-01-03T11:59:00"/>
    <n v="299"/>
    <s v="Wallet"/>
    <x v="0"/>
    <n v="95"/>
    <s v="Merchant_017"/>
    <s v="grocery"/>
    <s v="North"/>
    <n v="5.0000000000000001E-4"/>
    <d v="2026-01-03T00:00:00"/>
    <n v="398"/>
    <s v="Normal Merchant Day"/>
  </r>
  <r>
    <s v="TXN100380"/>
    <n v="276"/>
    <x v="7"/>
    <d v="2026-01-16T06:12:00"/>
    <n v="149"/>
    <s v="Wallet"/>
    <x v="0"/>
    <n v="71"/>
    <s v="Merchant_018"/>
    <s v="grocery"/>
    <s v="West"/>
    <n v="5.0000000000000001E-4"/>
    <d v="2026-01-16T00:00:00"/>
    <n v="3148"/>
    <s v="Normal Merchant Day"/>
  </r>
  <r>
    <s v="TXN100381"/>
    <n v="56"/>
    <x v="12"/>
    <d v="2026-01-23T08:08:00"/>
    <n v="99"/>
    <s v="Card"/>
    <x v="0"/>
    <n v="94"/>
    <s v="Merchant_040"/>
    <s v="entertainment"/>
    <s v="South"/>
    <n v="1.4999999999999999E-2"/>
    <d v="2026-01-23T00:00:00"/>
    <n v="598"/>
    <s v="Normal Merchant Day"/>
  </r>
  <r>
    <s v="TXN100382"/>
    <n v="26"/>
    <x v="36"/>
    <d v="2026-01-19T07:15:00"/>
    <n v="499"/>
    <s v="Card"/>
    <x v="0"/>
    <n v="28"/>
    <s v="Merchant_034"/>
    <s v="travel"/>
    <s v="South"/>
    <n v="1.4999999999999999E-2"/>
    <d v="2026-01-19T00:00:00"/>
    <n v="499"/>
    <s v="Normal Merchant Day"/>
  </r>
  <r>
    <s v="TXN100383"/>
    <n v="52"/>
    <x v="1"/>
    <d v="2026-01-21T07:03:00"/>
    <n v="499"/>
    <s v="Card"/>
    <x v="0"/>
    <n v="42"/>
    <s v="Merchant_027"/>
    <s v="ecommerce"/>
    <s v="North"/>
    <n v="1.4999999999999999E-2"/>
    <d v="2026-01-21T00:00:00"/>
    <n v="499"/>
    <s v="Normal Merchant Day"/>
  </r>
  <r>
    <s v="TXN100384"/>
    <n v="349"/>
    <x v="39"/>
    <d v="2026-01-23T15:06:00"/>
    <n v="499"/>
    <s v="Wallet"/>
    <x v="0"/>
    <n v="0"/>
    <s v="Merchant_009"/>
    <s v="ecommerce"/>
    <s v="North"/>
    <n v="5.0000000000000001E-4"/>
    <d v="2026-01-23T00:00:00"/>
    <n v="898"/>
    <s v="Normal Merchant Day"/>
  </r>
  <r>
    <s v="TXN100385"/>
    <n v="335"/>
    <x v="20"/>
    <d v="2026-01-18T05:26:00"/>
    <n v="49"/>
    <s v="Card"/>
    <x v="0"/>
    <n v="61"/>
    <s v="Merchant_031"/>
    <s v="bill_payment"/>
    <s v="East"/>
    <n v="1.4999999999999999E-2"/>
    <d v="2026-01-18T00:00:00"/>
    <n v="49"/>
    <s v="Normal Merchant Day"/>
  </r>
  <r>
    <s v="TXN100386"/>
    <n v="148"/>
    <x v="17"/>
    <d v="2026-01-21T06:48:00"/>
    <n v="49"/>
    <s v="Card"/>
    <x v="0"/>
    <n v="36"/>
    <s v="Merchant_021"/>
    <s v="food_delivery"/>
    <s v="East"/>
    <n v="1.4999999999999999E-2"/>
    <d v="2026-01-21T00:00:00"/>
    <n v="49"/>
    <s v="Normal Merchant Day"/>
  </r>
  <r>
    <s v="TXN100387"/>
    <n v="46"/>
    <x v="21"/>
    <d v="2026-01-21T01:58:00"/>
    <n v="99"/>
    <s v="Wallet"/>
    <x v="0"/>
    <n v="29"/>
    <s v="Merchant_037"/>
    <s v="entertainment"/>
    <s v="South"/>
    <n v="5.0000000000000001E-4"/>
    <d v="2026-01-21T00:00:00"/>
    <n v="99"/>
    <s v="Normal Merchant Day"/>
  </r>
  <r>
    <s v="TXN100388"/>
    <n v="20"/>
    <x v="9"/>
    <d v="2026-01-18T23:46:00"/>
    <n v="799"/>
    <s v="Card"/>
    <x v="0"/>
    <n v="53"/>
    <s v="Merchant_012"/>
    <s v="ecommerce"/>
    <s v="East"/>
    <n v="1.4999999999999999E-2"/>
    <d v="2026-01-18T00:00:00"/>
    <n v="799"/>
    <s v="Normal Merchant Day"/>
  </r>
  <r>
    <s v="TXN100389"/>
    <n v="19"/>
    <x v="22"/>
    <d v="2026-01-29T05:59:00"/>
    <n v="49"/>
    <s v="UPI"/>
    <x v="0"/>
    <n v="100"/>
    <s v="Merchant_026"/>
    <s v="food_delivery"/>
    <s v="East"/>
    <n v="2.0000000000000001E-4"/>
    <d v="2026-01-29T00:00:00"/>
    <n v="148"/>
    <s v="Normal Merchant Day"/>
  </r>
  <r>
    <s v="TXN100390"/>
    <n v="149"/>
    <x v="4"/>
    <d v="2026-01-16T05:59:00"/>
    <n v="4999"/>
    <s v="Wallet"/>
    <x v="0"/>
    <n v="1"/>
    <s v="Merchant_003"/>
    <s v="grocery"/>
    <s v="East"/>
    <n v="5.0000000000000001E-4"/>
    <d v="2026-01-16T00:00:00"/>
    <n v="4999"/>
    <s v="Normal Merchant Day"/>
  </r>
  <r>
    <s v="TXN100391"/>
    <n v="55"/>
    <x v="3"/>
    <d v="2026-01-10T18:38:00"/>
    <n v="499"/>
    <s v="UPI"/>
    <x v="0"/>
    <n v="36"/>
    <s v="Merchant_022"/>
    <s v="travel"/>
    <s v="South"/>
    <n v="2.0000000000000001E-4"/>
    <d v="2026-01-10T00:00:00"/>
    <n v="499"/>
    <s v="Normal Merchant Day"/>
  </r>
  <r>
    <s v="TXN100392"/>
    <n v="269"/>
    <x v="33"/>
    <d v="2026-01-15T20:34:00"/>
    <n v="49"/>
    <s v="Card"/>
    <x v="0"/>
    <n v="17"/>
    <s v="Merchant_032"/>
    <s v="food_delivery"/>
    <s v="West"/>
    <n v="1.4999999999999999E-2"/>
    <d v="2026-01-15T00:00:00"/>
    <n v="148"/>
    <s v="Normal Merchant Day"/>
  </r>
  <r>
    <s v="TXN100393"/>
    <n v="140"/>
    <x v="6"/>
    <d v="2026-01-28T16:29:00"/>
    <n v="2999"/>
    <s v="UPI"/>
    <x v="0"/>
    <n v="14"/>
    <s v="Merchant_013"/>
    <s v="travel"/>
    <s v="East"/>
    <n v="2.0000000000000001E-4"/>
    <d v="2026-01-28T00:00:00"/>
    <n v="2999"/>
    <s v="Normal Merchant Day"/>
  </r>
  <r>
    <s v="TXN100394"/>
    <n v="235"/>
    <x v="28"/>
    <d v="2026-01-11T05:46:00"/>
    <n v="2999"/>
    <s v="UPI"/>
    <x v="0"/>
    <n v="91"/>
    <s v="Merchant_017"/>
    <s v="grocery"/>
    <s v="North"/>
    <n v="2.0000000000000001E-4"/>
    <d v="2026-01-11T00:00:00"/>
    <n v="7998"/>
    <s v="High-Value Merchant Day"/>
  </r>
  <r>
    <s v="TXN100395"/>
    <n v="173"/>
    <x v="13"/>
    <d v="2026-01-06T00:47:00"/>
    <n v="499"/>
    <s v="UPI"/>
    <x v="1"/>
    <n v="72"/>
    <s v="Merchant_019"/>
    <s v="grocery"/>
    <s v="North"/>
    <n v="2.0000000000000001E-4"/>
    <d v="2026-01-06T00:00:00"/>
    <n v="499"/>
    <s v="Normal Merchant Day"/>
  </r>
  <r>
    <s v="TXN100396"/>
    <n v="313"/>
    <x v="22"/>
    <d v="2026-01-22T06:11:00"/>
    <n v="499"/>
    <s v="UPI"/>
    <x v="0"/>
    <n v="54"/>
    <s v="Merchant_026"/>
    <s v="food_delivery"/>
    <s v="East"/>
    <n v="2.0000000000000001E-4"/>
    <d v="2026-01-22T00:00:00"/>
    <n v="499"/>
    <s v="Normal Merchant Day"/>
  </r>
  <r>
    <s v="TXN100397"/>
    <n v="206"/>
    <x v="23"/>
    <d v="2026-01-17T10:05:00"/>
    <n v="149"/>
    <s v="Wallet"/>
    <x v="0"/>
    <n v="23"/>
    <s v="Merchant_007"/>
    <s v="food_delivery"/>
    <s v="East"/>
    <n v="5.0000000000000001E-4"/>
    <d v="2026-01-17T00:00:00"/>
    <n v="149"/>
    <s v="Normal Merchant Day"/>
  </r>
  <r>
    <s v="TXN100398"/>
    <n v="128"/>
    <x v="37"/>
    <d v="2026-01-05T15:20:00"/>
    <n v="1499"/>
    <s v="Netbanking"/>
    <x v="0"/>
    <n v="33"/>
    <s v="Merchant_001"/>
    <s v="ecommerce"/>
    <s v="South"/>
    <n v="0.01"/>
    <d v="2026-01-05T00:00:00"/>
    <n v="1499"/>
    <s v="Normal Merchant Day"/>
  </r>
  <r>
    <s v="TXN100399"/>
    <n v="137"/>
    <x v="3"/>
    <d v="2026-01-13T07:28:00"/>
    <n v="799"/>
    <s v="UPI"/>
    <x v="1"/>
    <n v="38"/>
    <s v="Merchant_022"/>
    <s v="travel"/>
    <s v="South"/>
    <n v="2.0000000000000001E-4"/>
    <d v="2026-01-13T00:00:00"/>
    <n v="5798"/>
    <s v="High-Value Merchant Day"/>
  </r>
  <r>
    <s v="TXN100400"/>
    <n v="6"/>
    <x v="28"/>
    <d v="2026-01-19T23:36:00"/>
    <n v="49"/>
    <s v="UPI"/>
    <x v="0"/>
    <n v="83"/>
    <s v="Merchant_017"/>
    <s v="grocery"/>
    <s v="North"/>
    <n v="2.0000000000000001E-4"/>
    <d v="2026-01-19T00:00:00"/>
    <n v="49"/>
    <s v="Normal Merchant Day"/>
  </r>
  <r>
    <s v="TXN100401"/>
    <n v="32"/>
    <x v="30"/>
    <d v="2026-01-12T22:15:00"/>
    <n v="299"/>
    <s v="Card"/>
    <x v="0"/>
    <n v="59"/>
    <s v="Merchant_008"/>
    <s v="food_delivery"/>
    <s v="North"/>
    <n v="1.4999999999999999E-2"/>
    <d v="2026-01-12T00:00:00"/>
    <n v="398"/>
    <s v="Normal Merchant Day"/>
  </r>
  <r>
    <s v="TXN100402"/>
    <n v="258"/>
    <x v="15"/>
    <d v="2026-01-10T05:25:00"/>
    <n v="149"/>
    <s v="UPI"/>
    <x v="0"/>
    <n v="88"/>
    <s v="Merchant_020"/>
    <s v="food_delivery"/>
    <s v="East"/>
    <n v="2.0000000000000001E-4"/>
    <d v="2026-01-10T00:00:00"/>
    <n v="149"/>
    <s v="Normal Merchant Day"/>
  </r>
  <r>
    <s v="TXN100403"/>
    <n v="152"/>
    <x v="31"/>
    <d v="2026-01-04T20:58:00"/>
    <n v="149"/>
    <s v="UPI"/>
    <x v="2"/>
    <n v="78"/>
    <s v="Merchant_024"/>
    <s v="grocery"/>
    <s v="North"/>
    <n v="2.0000000000000001E-4"/>
    <d v="2026-01-04T00:00:00"/>
    <n v="149"/>
    <s v="Normal Merchant Day"/>
  </r>
  <r>
    <s v="TXN100404"/>
    <n v="245"/>
    <x v="34"/>
    <d v="2026-01-08T07:08:00"/>
    <n v="799"/>
    <s v="Wallet"/>
    <x v="0"/>
    <n v="58"/>
    <s v="Merchant_010"/>
    <s v="grocery"/>
    <s v="West"/>
    <n v="5.0000000000000001E-4"/>
    <d v="2026-01-08T00:00:00"/>
    <n v="799"/>
    <s v="Normal Merchant Day"/>
  </r>
  <r>
    <s v="TXN100405"/>
    <n v="213"/>
    <x v="25"/>
    <d v="2026-01-24T19:23:00"/>
    <n v="49"/>
    <s v="Wallet"/>
    <x v="0"/>
    <n v="60"/>
    <s v="Merchant_036"/>
    <s v="entertainment"/>
    <s v="East"/>
    <n v="5.0000000000000001E-4"/>
    <d v="2026-01-24T00:00:00"/>
    <n v="1647"/>
    <s v="Normal Merchant Day"/>
  </r>
  <r>
    <s v="TXN100406"/>
    <n v="341"/>
    <x v="16"/>
    <d v="2026-01-25T17:51:00"/>
    <n v="99"/>
    <s v="Netbanking"/>
    <x v="0"/>
    <n v="97"/>
    <s v="Merchant_014"/>
    <s v="grocery"/>
    <s v="East"/>
    <n v="0.01"/>
    <d v="2026-01-25T00:00:00"/>
    <n v="1598"/>
    <s v="Normal Merchant Day"/>
  </r>
  <r>
    <s v="TXN100407"/>
    <n v="306"/>
    <x v="18"/>
    <d v="2026-01-08T21:48:00"/>
    <n v="149"/>
    <s v="Netbanking"/>
    <x v="0"/>
    <n v="67"/>
    <s v="Merchant_006"/>
    <s v="food_delivery"/>
    <s v="South"/>
    <n v="0.01"/>
    <d v="2026-01-08T00:00:00"/>
    <n v="149"/>
    <s v="Normal Merchant Day"/>
  </r>
  <r>
    <s v="TXN100408"/>
    <n v="186"/>
    <x v="32"/>
    <d v="2026-01-15T16:45:00"/>
    <n v="499"/>
    <s v="UPI"/>
    <x v="0"/>
    <n v="72"/>
    <s v="Merchant_005"/>
    <s v="recharge"/>
    <s v="South"/>
    <n v="2.0000000000000001E-4"/>
    <d v="2026-01-15T00:00:00"/>
    <n v="548"/>
    <s v="Normal Merchant Day"/>
  </r>
  <r>
    <s v="TXN100409"/>
    <n v="281"/>
    <x v="11"/>
    <d v="2026-01-04T01:53:00"/>
    <n v="4999"/>
    <s v="UPI"/>
    <x v="0"/>
    <n v="25"/>
    <s v="Merchant_033"/>
    <s v="bill_payment"/>
    <s v="East"/>
    <n v="2.0000000000000001E-4"/>
    <d v="2026-01-04T00:00:00"/>
    <n v="4999"/>
    <s v="Normal Merchant Day"/>
  </r>
  <r>
    <s v="TXN100410"/>
    <n v="85"/>
    <x v="17"/>
    <d v="2026-01-19T17:09:00"/>
    <n v="99"/>
    <s v="UPI"/>
    <x v="0"/>
    <n v="66"/>
    <s v="Merchant_021"/>
    <s v="food_delivery"/>
    <s v="East"/>
    <n v="2.0000000000000001E-4"/>
    <d v="2026-01-19T00:00:00"/>
    <n v="99"/>
    <s v="Normal Merchant Day"/>
  </r>
  <r>
    <s v="TXN100411"/>
    <n v="106"/>
    <x v="35"/>
    <d v="2026-01-15T03:43:00"/>
    <n v="499"/>
    <s v="UPI"/>
    <x v="0"/>
    <n v="62"/>
    <s v="Merchant_038"/>
    <s v="grocery"/>
    <s v="East"/>
    <n v="2.0000000000000001E-4"/>
    <d v="2026-01-15T00:00:00"/>
    <n v="499"/>
    <s v="Normal Merchant Day"/>
  </r>
  <r>
    <s v="TXN100412"/>
    <n v="29"/>
    <x v="24"/>
    <d v="2026-01-03T16:28:00"/>
    <n v="149"/>
    <s v="Netbanking"/>
    <x v="0"/>
    <n v="16"/>
    <s v="Merchant_030"/>
    <s v="travel"/>
    <s v="West"/>
    <n v="0.01"/>
    <d v="2026-01-03T00:00:00"/>
    <n v="149"/>
    <s v="Normal Merchant Day"/>
  </r>
  <r>
    <s v="TXN100413"/>
    <n v="289"/>
    <x v="29"/>
    <d v="2026-01-17T13:29:00"/>
    <n v="1499"/>
    <s v="Card"/>
    <x v="0"/>
    <n v="71"/>
    <s v="Merchant_004"/>
    <s v="ecommerce"/>
    <s v="East"/>
    <n v="1.4999999999999999E-2"/>
    <d v="2026-01-17T00:00:00"/>
    <n v="1499"/>
    <s v="Normal Merchant Day"/>
  </r>
  <r>
    <s v="TXN100414"/>
    <n v="158"/>
    <x v="27"/>
    <d v="2026-01-15T21:51:00"/>
    <n v="1499"/>
    <s v="Card"/>
    <x v="0"/>
    <n v="50"/>
    <s v="Merchant_002"/>
    <s v="grocery"/>
    <s v="West"/>
    <n v="1.4999999999999999E-2"/>
    <d v="2026-01-15T00:00:00"/>
    <n v="1499"/>
    <s v="Normal Merchant Day"/>
  </r>
  <r>
    <s v="TXN100415"/>
    <n v="112"/>
    <x v="35"/>
    <d v="2026-01-09T00:47:00"/>
    <n v="49"/>
    <s v="UPI"/>
    <x v="0"/>
    <n v="9"/>
    <s v="Merchant_038"/>
    <s v="grocery"/>
    <s v="East"/>
    <n v="2.0000000000000001E-4"/>
    <d v="2026-01-09T00:00:00"/>
    <n v="348"/>
    <s v="Normal Merchant Day"/>
  </r>
  <r>
    <s v="TXN100416"/>
    <n v="33"/>
    <x v="8"/>
    <d v="2026-01-02T13:22:00"/>
    <n v="299"/>
    <s v="Card"/>
    <x v="1"/>
    <n v="7"/>
    <s v="Merchant_035"/>
    <s v="recharge"/>
    <s v="East"/>
    <n v="1.4999999999999999E-2"/>
    <d v="2026-01-02T00:00:00"/>
    <n v="1847"/>
    <s v="Normal Merchant Day"/>
  </r>
  <r>
    <s v="TXN100417"/>
    <n v="242"/>
    <x v="4"/>
    <d v="2026-01-30T02:59:00"/>
    <n v="49"/>
    <s v="UPI"/>
    <x v="0"/>
    <n v="36"/>
    <s v="Merchant_003"/>
    <s v="grocery"/>
    <s v="East"/>
    <n v="2.0000000000000001E-4"/>
    <d v="2026-01-30T00:00:00"/>
    <n v="49"/>
    <s v="Normal Merchant Day"/>
  </r>
  <r>
    <s v="TXN100418"/>
    <n v="70"/>
    <x v="1"/>
    <d v="2026-01-14T05:49:00"/>
    <n v="149"/>
    <s v="UPI"/>
    <x v="0"/>
    <n v="47"/>
    <s v="Merchant_027"/>
    <s v="ecommerce"/>
    <s v="North"/>
    <n v="2.0000000000000001E-4"/>
    <d v="2026-01-14T00:00:00"/>
    <n v="149"/>
    <s v="Normal Merchant Day"/>
  </r>
  <r>
    <s v="TXN100419"/>
    <n v="194"/>
    <x v="14"/>
    <d v="2026-01-29T12:28:00"/>
    <n v="49"/>
    <s v="Wallet"/>
    <x v="0"/>
    <n v="10"/>
    <s v="Merchant_025"/>
    <s v="travel"/>
    <s v="South"/>
    <n v="5.0000000000000001E-4"/>
    <d v="2026-01-29T00:00:00"/>
    <n v="3048"/>
    <s v="Normal Merchant Day"/>
  </r>
  <r>
    <s v="TXN100420"/>
    <n v="277"/>
    <x v="39"/>
    <d v="2026-01-22T21:55:00"/>
    <n v="799"/>
    <s v="UPI"/>
    <x v="0"/>
    <n v="83"/>
    <s v="Merchant_009"/>
    <s v="ecommerce"/>
    <s v="North"/>
    <n v="2.0000000000000001E-4"/>
    <d v="2026-01-22T00:00:00"/>
    <n v="1298"/>
    <s v="Normal Merchant Day"/>
  </r>
  <r>
    <s v="TXN100421"/>
    <n v="92"/>
    <x v="8"/>
    <d v="2026-01-28T11:07:00"/>
    <n v="49"/>
    <s v="UPI"/>
    <x v="0"/>
    <n v="50"/>
    <s v="Merchant_035"/>
    <s v="recharge"/>
    <s v="East"/>
    <n v="2.0000000000000001E-4"/>
    <d v="2026-01-28T00:00:00"/>
    <n v="49"/>
    <s v="Normal Merchant Day"/>
  </r>
  <r>
    <s v="TXN100422"/>
    <n v="115"/>
    <x v="37"/>
    <d v="2026-01-17T04:46:00"/>
    <n v="149"/>
    <s v="Wallet"/>
    <x v="0"/>
    <n v="96"/>
    <s v="Merchant_001"/>
    <s v="ecommerce"/>
    <s v="South"/>
    <n v="5.0000000000000001E-4"/>
    <d v="2026-01-17T00:00:00"/>
    <n v="149"/>
    <s v="Normal Merchant Day"/>
  </r>
  <r>
    <s v="TXN100423"/>
    <n v="345"/>
    <x v="8"/>
    <d v="2026-01-01T09:29:00"/>
    <n v="499"/>
    <s v="Card"/>
    <x v="0"/>
    <n v="54"/>
    <s v="Merchant_035"/>
    <s v="recharge"/>
    <s v="East"/>
    <n v="1.4999999999999999E-2"/>
    <d v="2026-01-01T00:00:00"/>
    <n v="798"/>
    <s v="Normal Merchant Day"/>
  </r>
  <r>
    <s v="TXN100424"/>
    <n v="118"/>
    <x v="0"/>
    <d v="2026-01-18T12:52:00"/>
    <n v="49"/>
    <s v="UPI"/>
    <x v="0"/>
    <n v="58"/>
    <s v="Merchant_016"/>
    <s v="bill_payment"/>
    <s v="West"/>
    <n v="2.0000000000000001E-4"/>
    <d v="2026-01-18T00:00:00"/>
    <n v="49"/>
    <s v="Normal Merchant Day"/>
  </r>
  <r>
    <s v="TXN100425"/>
    <n v="97"/>
    <x v="30"/>
    <d v="2026-01-12T04:17:00"/>
    <n v="99"/>
    <s v="Netbanking"/>
    <x v="0"/>
    <n v="4"/>
    <s v="Merchant_008"/>
    <s v="food_delivery"/>
    <s v="North"/>
    <n v="0.01"/>
    <d v="2026-01-12T00:00:00"/>
    <n v="398"/>
    <s v="Normal Merchant Day"/>
  </r>
  <r>
    <s v="TXN100426"/>
    <n v="315"/>
    <x v="27"/>
    <d v="2026-01-26T21:26:00"/>
    <n v="299"/>
    <s v="Wallet"/>
    <x v="0"/>
    <n v="30"/>
    <s v="Merchant_002"/>
    <s v="grocery"/>
    <s v="West"/>
    <n v="5.0000000000000001E-4"/>
    <d v="2026-01-26T00:00:00"/>
    <n v="299"/>
    <s v="Normal Merchant Day"/>
  </r>
  <r>
    <s v="TXN100427"/>
    <n v="305"/>
    <x v="4"/>
    <d v="2026-01-07T02:06:00"/>
    <n v="299"/>
    <s v="UPI"/>
    <x v="0"/>
    <n v="57"/>
    <s v="Merchant_003"/>
    <s v="grocery"/>
    <s v="East"/>
    <n v="2.0000000000000001E-4"/>
    <d v="2026-01-07T00:00:00"/>
    <n v="798"/>
    <s v="Normal Merchant Day"/>
  </r>
  <r>
    <s v="TXN100428"/>
    <n v="25"/>
    <x v="0"/>
    <d v="2026-01-20T21:45:00"/>
    <n v="299"/>
    <s v="UPI"/>
    <x v="0"/>
    <n v="94"/>
    <s v="Merchant_016"/>
    <s v="bill_payment"/>
    <s v="West"/>
    <n v="2.0000000000000001E-4"/>
    <d v="2026-01-20T00:00:00"/>
    <n v="448"/>
    <s v="Normal Merchant Day"/>
  </r>
  <r>
    <s v="TXN100429"/>
    <n v="120"/>
    <x v="8"/>
    <d v="2026-01-02T12:28:00"/>
    <n v="49"/>
    <s v="UPI"/>
    <x v="0"/>
    <n v="27"/>
    <s v="Merchant_035"/>
    <s v="recharge"/>
    <s v="East"/>
    <n v="2.0000000000000001E-4"/>
    <d v="2026-01-02T00:00:00"/>
    <n v="1847"/>
    <s v="Normal Merchant Day"/>
  </r>
  <r>
    <s v="TXN100430"/>
    <n v="258"/>
    <x v="13"/>
    <d v="2026-01-25T01:08:00"/>
    <n v="49"/>
    <s v="Wallet"/>
    <x v="0"/>
    <n v="29"/>
    <s v="Merchant_019"/>
    <s v="grocery"/>
    <s v="North"/>
    <n v="5.0000000000000001E-4"/>
    <d v="2026-01-25T00:00:00"/>
    <n v="49"/>
    <s v="Normal Merchant Day"/>
  </r>
  <r>
    <s v="TXN100431"/>
    <n v="164"/>
    <x v="21"/>
    <d v="2026-01-27T23:36:00"/>
    <n v="799"/>
    <s v="UPI"/>
    <x v="0"/>
    <n v="76"/>
    <s v="Merchant_037"/>
    <s v="entertainment"/>
    <s v="South"/>
    <n v="2.0000000000000001E-4"/>
    <d v="2026-01-27T00:00:00"/>
    <n v="799"/>
    <s v="Normal Merchant Day"/>
  </r>
  <r>
    <s v="TXN100432"/>
    <n v="165"/>
    <x v="0"/>
    <d v="2026-01-25T21:52:00"/>
    <n v="49"/>
    <s v="Wallet"/>
    <x v="0"/>
    <n v="38"/>
    <s v="Merchant_016"/>
    <s v="bill_payment"/>
    <s v="West"/>
    <n v="5.0000000000000001E-4"/>
    <d v="2026-01-25T00:00:00"/>
    <n v="98"/>
    <s v="Normal Merchant Day"/>
  </r>
  <r>
    <s v="TXN100433"/>
    <n v="267"/>
    <x v="19"/>
    <d v="2026-01-29T04:42:00"/>
    <n v="49"/>
    <s v="Netbanking"/>
    <x v="0"/>
    <n v="52"/>
    <s v="Merchant_015"/>
    <s v="travel"/>
    <s v="North"/>
    <n v="0.01"/>
    <d v="2026-01-29T00:00:00"/>
    <n v="98"/>
    <s v="Normal Merchant Day"/>
  </r>
  <r>
    <s v="TXN100434"/>
    <n v="286"/>
    <x v="35"/>
    <d v="2026-01-10T08:03:00"/>
    <n v="299"/>
    <s v="Wallet"/>
    <x v="0"/>
    <n v="94"/>
    <s v="Merchant_038"/>
    <s v="grocery"/>
    <s v="East"/>
    <n v="5.0000000000000001E-4"/>
    <d v="2026-01-10T00:00:00"/>
    <n v="398"/>
    <s v="Normal Merchant Day"/>
  </r>
  <r>
    <s v="TXN100435"/>
    <n v="348"/>
    <x v="10"/>
    <d v="2026-01-30T05:40:00"/>
    <n v="499"/>
    <s v="Card"/>
    <x v="0"/>
    <n v="71"/>
    <s v="Merchant_028"/>
    <s v="ecommerce"/>
    <s v="South"/>
    <n v="1.4999999999999999E-2"/>
    <d v="2026-01-30T00:00:00"/>
    <n v="499"/>
    <s v="Normal Merchant Day"/>
  </r>
  <r>
    <s v="TXN100436"/>
    <n v="330"/>
    <x v="14"/>
    <d v="2026-01-16T01:22:00"/>
    <n v="799"/>
    <s v="UPI"/>
    <x v="0"/>
    <n v="100"/>
    <s v="Merchant_025"/>
    <s v="travel"/>
    <s v="South"/>
    <n v="2.0000000000000001E-4"/>
    <d v="2026-01-16T00:00:00"/>
    <n v="799"/>
    <s v="Normal Merchant Day"/>
  </r>
  <r>
    <s v="TXN100437"/>
    <n v="214"/>
    <x v="1"/>
    <d v="2026-01-17T10:44:00"/>
    <n v="299"/>
    <s v="Card"/>
    <x v="0"/>
    <n v="19"/>
    <s v="Merchant_027"/>
    <s v="ecommerce"/>
    <s v="North"/>
    <n v="1.4999999999999999E-2"/>
    <d v="2026-01-17T00:00:00"/>
    <n v="1597"/>
    <s v="Normal Merchant Day"/>
  </r>
  <r>
    <s v="TXN100438"/>
    <n v="276"/>
    <x v="20"/>
    <d v="2026-01-10T12:11:00"/>
    <n v="499"/>
    <s v="UPI"/>
    <x v="0"/>
    <n v="30"/>
    <s v="Merchant_031"/>
    <s v="bill_payment"/>
    <s v="East"/>
    <n v="2.0000000000000001E-4"/>
    <d v="2026-01-10T00:00:00"/>
    <n v="499"/>
    <s v="Normal Merchant Day"/>
  </r>
  <r>
    <s v="TXN100439"/>
    <n v="74"/>
    <x v="24"/>
    <d v="2026-01-28T07:19:00"/>
    <n v="49"/>
    <s v="UPI"/>
    <x v="0"/>
    <n v="7"/>
    <s v="Merchant_030"/>
    <s v="travel"/>
    <s v="West"/>
    <n v="2.0000000000000001E-4"/>
    <d v="2026-01-28T00:00:00"/>
    <n v="49"/>
    <s v="Normal Merchant Day"/>
  </r>
  <r>
    <s v="TXN100440"/>
    <n v="286"/>
    <x v="36"/>
    <d v="2026-01-18T13:26:00"/>
    <n v="49"/>
    <s v="Card"/>
    <x v="0"/>
    <n v="17"/>
    <s v="Merchant_034"/>
    <s v="travel"/>
    <s v="South"/>
    <n v="1.4999999999999999E-2"/>
    <d v="2026-01-18T00:00:00"/>
    <n v="148"/>
    <s v="Normal Merchant Day"/>
  </r>
  <r>
    <s v="TXN100441"/>
    <n v="105"/>
    <x v="3"/>
    <d v="2026-01-13T07:16:00"/>
    <n v="4999"/>
    <s v="UPI"/>
    <x v="0"/>
    <n v="82"/>
    <s v="Merchant_022"/>
    <s v="travel"/>
    <s v="South"/>
    <n v="2.0000000000000001E-4"/>
    <d v="2026-01-13T00:00:00"/>
    <n v="5798"/>
    <s v="High-Value Merchant Day"/>
  </r>
  <r>
    <s v="TXN100442"/>
    <n v="190"/>
    <x v="18"/>
    <d v="2026-01-03T14:54:00"/>
    <n v="799"/>
    <s v="Wallet"/>
    <x v="0"/>
    <n v="68"/>
    <s v="Merchant_006"/>
    <s v="food_delivery"/>
    <s v="South"/>
    <n v="5.0000000000000001E-4"/>
    <d v="2026-01-03T00:00:00"/>
    <n v="799"/>
    <s v="Normal Merchant Day"/>
  </r>
  <r>
    <s v="TXN100443"/>
    <n v="138"/>
    <x v="14"/>
    <d v="2026-01-24T06:03:00"/>
    <n v="299"/>
    <s v="Wallet"/>
    <x v="0"/>
    <n v="86"/>
    <s v="Merchant_025"/>
    <s v="travel"/>
    <s v="South"/>
    <n v="5.0000000000000001E-4"/>
    <d v="2026-01-24T00:00:00"/>
    <n v="497"/>
    <s v="Normal Merchant Day"/>
  </r>
  <r>
    <s v="TXN100444"/>
    <n v="38"/>
    <x v="6"/>
    <d v="2026-01-20T19:02:00"/>
    <n v="4999"/>
    <s v="Netbanking"/>
    <x v="0"/>
    <n v="97"/>
    <s v="Merchant_013"/>
    <s v="travel"/>
    <s v="East"/>
    <n v="0.01"/>
    <d v="2026-01-20T00:00:00"/>
    <n v="4999"/>
    <s v="Normal Merchant Day"/>
  </r>
  <r>
    <s v="TXN100445"/>
    <n v="287"/>
    <x v="16"/>
    <d v="2026-01-19T23:42:00"/>
    <n v="99"/>
    <s v="Wallet"/>
    <x v="0"/>
    <n v="61"/>
    <s v="Merchant_014"/>
    <s v="grocery"/>
    <s v="East"/>
    <n v="5.0000000000000001E-4"/>
    <d v="2026-01-19T00:00:00"/>
    <n v="99"/>
    <s v="Normal Merchant Day"/>
  </r>
  <r>
    <s v="TXN100446"/>
    <n v="8"/>
    <x v="16"/>
    <d v="2026-01-07T10:19:00"/>
    <n v="49"/>
    <s v="UPI"/>
    <x v="0"/>
    <n v="24"/>
    <s v="Merchant_014"/>
    <s v="grocery"/>
    <s v="East"/>
    <n v="2.0000000000000001E-4"/>
    <d v="2026-01-07T00:00:00"/>
    <n v="49"/>
    <s v="Normal Merchant Day"/>
  </r>
  <r>
    <s v="TXN100447"/>
    <n v="246"/>
    <x v="0"/>
    <d v="2026-01-24T03:47:00"/>
    <n v="1499"/>
    <s v="Wallet"/>
    <x v="0"/>
    <n v="89"/>
    <s v="Merchant_016"/>
    <s v="bill_payment"/>
    <s v="West"/>
    <n v="5.0000000000000001E-4"/>
    <d v="2026-01-24T00:00:00"/>
    <n v="1548"/>
    <s v="Normal Merchant Day"/>
  </r>
  <r>
    <s v="TXN100448"/>
    <n v="204"/>
    <x v="0"/>
    <d v="2026-01-20T22:13:00"/>
    <n v="149"/>
    <s v="UPI"/>
    <x v="0"/>
    <n v="70"/>
    <s v="Merchant_016"/>
    <s v="bill_payment"/>
    <s v="West"/>
    <n v="2.0000000000000001E-4"/>
    <d v="2026-01-20T00:00:00"/>
    <n v="448"/>
    <s v="Normal Merchant Day"/>
  </r>
  <r>
    <s v="TXN100449"/>
    <n v="239"/>
    <x v="8"/>
    <d v="2026-01-11T09:24:00"/>
    <n v="4999"/>
    <s v="UPI"/>
    <x v="0"/>
    <n v="83"/>
    <s v="Merchant_035"/>
    <s v="recharge"/>
    <s v="East"/>
    <n v="2.0000000000000001E-4"/>
    <d v="2026-01-11T00:00:00"/>
    <n v="4999"/>
    <s v="Normal Merchant Day"/>
  </r>
  <r>
    <s v="TXN100450"/>
    <n v="185"/>
    <x v="11"/>
    <d v="2026-01-12T09:16:00"/>
    <n v="299"/>
    <s v="UPI"/>
    <x v="0"/>
    <n v="63"/>
    <s v="Merchant_033"/>
    <s v="bill_payment"/>
    <s v="East"/>
    <n v="2.0000000000000001E-4"/>
    <d v="2026-01-12T00:00:00"/>
    <n v="299"/>
    <s v="Normal Merchant Day"/>
  </r>
  <r>
    <s v="TXN100451"/>
    <n v="241"/>
    <x v="17"/>
    <d v="2026-01-15T03:51:00"/>
    <n v="299"/>
    <s v="Card"/>
    <x v="0"/>
    <n v="26"/>
    <s v="Merchant_021"/>
    <s v="food_delivery"/>
    <s v="East"/>
    <n v="1.4999999999999999E-2"/>
    <d v="2026-01-15T00:00:00"/>
    <n v="299"/>
    <s v="Normal Merchant Day"/>
  </r>
  <r>
    <s v="TXN100452"/>
    <n v="24"/>
    <x v="21"/>
    <d v="2026-01-12T10:26:00"/>
    <n v="149"/>
    <s v="UPI"/>
    <x v="0"/>
    <n v="28"/>
    <s v="Merchant_037"/>
    <s v="entertainment"/>
    <s v="South"/>
    <n v="2.0000000000000001E-4"/>
    <d v="2026-01-12T00:00:00"/>
    <n v="149"/>
    <s v="Normal Merchant Day"/>
  </r>
  <r>
    <s v="TXN100453"/>
    <n v="134"/>
    <x v="25"/>
    <d v="2026-01-24T04:01:00"/>
    <n v="1499"/>
    <s v="UPI"/>
    <x v="0"/>
    <n v="74"/>
    <s v="Merchant_036"/>
    <s v="entertainment"/>
    <s v="East"/>
    <n v="2.0000000000000001E-4"/>
    <d v="2026-01-24T00:00:00"/>
    <n v="1647"/>
    <s v="Normal Merchant Day"/>
  </r>
  <r>
    <s v="TXN100454"/>
    <n v="152"/>
    <x v="34"/>
    <d v="2026-01-19T23:26:00"/>
    <n v="499"/>
    <s v="Wallet"/>
    <x v="0"/>
    <n v="25"/>
    <s v="Merchant_010"/>
    <s v="grocery"/>
    <s v="West"/>
    <n v="5.0000000000000001E-4"/>
    <d v="2026-01-19T00:00:00"/>
    <n v="499"/>
    <s v="Normal Merchant Day"/>
  </r>
  <r>
    <s v="TXN100455"/>
    <n v="292"/>
    <x v="0"/>
    <d v="2026-01-11T07:24:00"/>
    <n v="499"/>
    <s v="Netbanking"/>
    <x v="0"/>
    <n v="63"/>
    <s v="Merchant_016"/>
    <s v="bill_payment"/>
    <s v="West"/>
    <n v="0.01"/>
    <d v="2026-01-11T00:00:00"/>
    <n v="499"/>
    <s v="Normal Merchant Day"/>
  </r>
  <r>
    <s v="TXN100456"/>
    <n v="173"/>
    <x v="28"/>
    <d v="2026-01-18T20:43:00"/>
    <n v="99"/>
    <s v="Netbanking"/>
    <x v="0"/>
    <n v="97"/>
    <s v="Merchant_017"/>
    <s v="grocery"/>
    <s v="North"/>
    <n v="0.01"/>
    <d v="2026-01-18T00:00:00"/>
    <n v="198"/>
    <s v="Normal Merchant Day"/>
  </r>
  <r>
    <s v="TXN100457"/>
    <n v="329"/>
    <x v="33"/>
    <d v="2026-01-27T15:46:00"/>
    <n v="1499"/>
    <s v="UPI"/>
    <x v="0"/>
    <n v="58"/>
    <s v="Merchant_032"/>
    <s v="food_delivery"/>
    <s v="West"/>
    <n v="2.0000000000000001E-4"/>
    <d v="2026-01-27T00:00:00"/>
    <n v="1499"/>
    <s v="Normal Merchant Day"/>
  </r>
  <r>
    <s v="TXN100458"/>
    <n v="181"/>
    <x v="2"/>
    <d v="2026-01-06T23:50:00"/>
    <n v="1499"/>
    <s v="UPI"/>
    <x v="0"/>
    <n v="17"/>
    <s v="Merchant_011"/>
    <s v="ecommerce"/>
    <s v="North"/>
    <n v="2.0000000000000001E-4"/>
    <d v="2026-01-06T00:00:00"/>
    <n v="1499"/>
    <s v="Normal Merchant Day"/>
  </r>
  <r>
    <s v="TXN100459"/>
    <n v="95"/>
    <x v="8"/>
    <d v="2026-01-24T17:31:00"/>
    <n v="149"/>
    <s v="Wallet"/>
    <x v="0"/>
    <n v="82"/>
    <s v="Merchant_035"/>
    <s v="recharge"/>
    <s v="East"/>
    <n v="5.0000000000000001E-4"/>
    <d v="2026-01-24T00:00:00"/>
    <n v="149"/>
    <s v="Normal Merchant Day"/>
  </r>
  <r>
    <s v="TXN100460"/>
    <n v="39"/>
    <x v="29"/>
    <d v="2026-01-02T16:02:00"/>
    <n v="149"/>
    <s v="Netbanking"/>
    <x v="0"/>
    <n v="97"/>
    <s v="Merchant_004"/>
    <s v="ecommerce"/>
    <s v="East"/>
    <n v="0.01"/>
    <d v="2026-01-02T00:00:00"/>
    <n v="149"/>
    <s v="Normal Merchant Day"/>
  </r>
  <r>
    <s v="TXN100461"/>
    <n v="323"/>
    <x v="19"/>
    <d v="2026-01-01T13:08:00"/>
    <n v="499"/>
    <s v="UPI"/>
    <x v="0"/>
    <n v="8"/>
    <s v="Merchant_015"/>
    <s v="travel"/>
    <s v="North"/>
    <n v="2.0000000000000001E-4"/>
    <d v="2026-01-01T00:00:00"/>
    <n v="499"/>
    <s v="Normal Merchant Day"/>
  </r>
  <r>
    <s v="TXN100462"/>
    <n v="112"/>
    <x v="11"/>
    <d v="2026-01-23T04:00:00"/>
    <n v="49"/>
    <s v="Netbanking"/>
    <x v="0"/>
    <n v="58"/>
    <s v="Merchant_033"/>
    <s v="bill_payment"/>
    <s v="East"/>
    <n v="0.01"/>
    <d v="2026-01-23T00:00:00"/>
    <n v="49"/>
    <s v="Normal Merchant Day"/>
  </r>
  <r>
    <s v="TXN100463"/>
    <n v="327"/>
    <x v="12"/>
    <d v="2026-01-12T01:39:00"/>
    <n v="99"/>
    <s v="UPI"/>
    <x v="0"/>
    <n v="61"/>
    <s v="Merchant_040"/>
    <s v="entertainment"/>
    <s v="South"/>
    <n v="2.0000000000000001E-4"/>
    <d v="2026-01-12T00:00:00"/>
    <n v="99"/>
    <s v="Normal Merchant Day"/>
  </r>
  <r>
    <s v="TXN100464"/>
    <n v="4"/>
    <x v="8"/>
    <d v="2026-01-22T15:01:00"/>
    <n v="299"/>
    <s v="UPI"/>
    <x v="0"/>
    <n v="70"/>
    <s v="Merchant_035"/>
    <s v="recharge"/>
    <s v="East"/>
    <n v="2.0000000000000001E-4"/>
    <d v="2026-01-22T00:00:00"/>
    <n v="299"/>
    <s v="Normal Merchant Day"/>
  </r>
  <r>
    <s v="TXN100465"/>
    <n v="272"/>
    <x v="7"/>
    <d v="2026-01-14T00:01:00"/>
    <n v="149"/>
    <s v="UPI"/>
    <x v="0"/>
    <n v="68"/>
    <s v="Merchant_018"/>
    <s v="grocery"/>
    <s v="West"/>
    <n v="2.0000000000000001E-4"/>
    <d v="2026-01-14T00:00:00"/>
    <n v="149"/>
    <s v="Normal Merchant Day"/>
  </r>
  <r>
    <s v="TXN100466"/>
    <n v="346"/>
    <x v="10"/>
    <d v="2026-01-10T00:32:00"/>
    <n v="499"/>
    <s v="UPI"/>
    <x v="0"/>
    <n v="22"/>
    <s v="Merchant_028"/>
    <s v="ecommerce"/>
    <s v="South"/>
    <n v="2.0000000000000001E-4"/>
    <d v="2026-01-10T00:00:00"/>
    <n v="499"/>
    <s v="Normal Merchant Day"/>
  </r>
  <r>
    <s v="TXN100467"/>
    <n v="77"/>
    <x v="0"/>
    <d v="2026-01-04T03:33:00"/>
    <n v="49"/>
    <s v="Wallet"/>
    <x v="0"/>
    <n v="24"/>
    <s v="Merchant_016"/>
    <s v="bill_payment"/>
    <s v="West"/>
    <n v="5.0000000000000001E-4"/>
    <d v="2026-01-04T00:00:00"/>
    <n v="49"/>
    <s v="Normal Merchant Day"/>
  </r>
  <r>
    <s v="TXN100468"/>
    <n v="182"/>
    <x v="7"/>
    <d v="2026-01-20T16:16:00"/>
    <n v="149"/>
    <s v="Card"/>
    <x v="0"/>
    <n v="50"/>
    <s v="Merchant_018"/>
    <s v="grocery"/>
    <s v="West"/>
    <n v="1.4999999999999999E-2"/>
    <d v="2026-01-20T00:00:00"/>
    <n v="149"/>
    <s v="Normal Merchant Day"/>
  </r>
  <r>
    <s v="TXN100469"/>
    <n v="236"/>
    <x v="21"/>
    <d v="2026-01-03T11:25:00"/>
    <n v="299"/>
    <s v="Card"/>
    <x v="0"/>
    <n v="31"/>
    <s v="Merchant_037"/>
    <s v="entertainment"/>
    <s v="South"/>
    <n v="1.4999999999999999E-2"/>
    <d v="2026-01-03T00:00:00"/>
    <n v="299"/>
    <s v="Normal Merchant Day"/>
  </r>
  <r>
    <s v="TXN100470"/>
    <n v="42"/>
    <x v="4"/>
    <d v="2026-01-23T07:19:00"/>
    <n v="49"/>
    <s v="UPI"/>
    <x v="0"/>
    <n v="11"/>
    <s v="Merchant_003"/>
    <s v="grocery"/>
    <s v="East"/>
    <n v="2.0000000000000001E-4"/>
    <d v="2026-01-23T00:00:00"/>
    <n v="49"/>
    <s v="Normal Merchant Day"/>
  </r>
  <r>
    <s v="TXN100471"/>
    <n v="283"/>
    <x v="20"/>
    <d v="2026-01-13T12:24:00"/>
    <n v="299"/>
    <s v="Netbanking"/>
    <x v="0"/>
    <n v="7"/>
    <s v="Merchant_031"/>
    <s v="bill_payment"/>
    <s v="East"/>
    <n v="0.01"/>
    <d v="2026-01-13T00:00:00"/>
    <n v="299"/>
    <s v="Normal Merchant Day"/>
  </r>
  <r>
    <s v="TXN100472"/>
    <n v="88"/>
    <x v="18"/>
    <d v="2026-01-21T00:44:00"/>
    <n v="49"/>
    <s v="UPI"/>
    <x v="0"/>
    <n v="63"/>
    <s v="Merchant_006"/>
    <s v="food_delivery"/>
    <s v="South"/>
    <n v="2.0000000000000001E-4"/>
    <d v="2026-01-21T00:00:00"/>
    <n v="49"/>
    <s v="Normal Merchant Day"/>
  </r>
  <r>
    <s v="TXN100473"/>
    <n v="170"/>
    <x v="21"/>
    <d v="2026-01-28T13:41:00"/>
    <n v="99"/>
    <s v="UPI"/>
    <x v="1"/>
    <n v="12"/>
    <s v="Merchant_037"/>
    <s v="entertainment"/>
    <s v="South"/>
    <n v="2.0000000000000001E-4"/>
    <d v="2026-01-28T00:00:00"/>
    <n v="697"/>
    <s v="Normal Merchant Day"/>
  </r>
  <r>
    <s v="TXN100474"/>
    <n v="22"/>
    <x v="19"/>
    <d v="2026-01-29T16:58:00"/>
    <n v="49"/>
    <s v="Netbanking"/>
    <x v="0"/>
    <n v="27"/>
    <s v="Merchant_015"/>
    <s v="travel"/>
    <s v="North"/>
    <n v="0.01"/>
    <d v="2026-01-29T00:00:00"/>
    <n v="98"/>
    <s v="Normal Merchant Day"/>
  </r>
  <r>
    <s v="TXN100475"/>
    <n v="291"/>
    <x v="20"/>
    <d v="2026-01-29T22:56:00"/>
    <n v="49"/>
    <s v="Netbanking"/>
    <x v="1"/>
    <n v="34"/>
    <s v="Merchant_031"/>
    <s v="bill_payment"/>
    <s v="East"/>
    <n v="0.01"/>
    <d v="2026-01-29T00:00:00"/>
    <n v="49"/>
    <s v="Normal Merchant Day"/>
  </r>
  <r>
    <s v="TXN100476"/>
    <n v="144"/>
    <x v="8"/>
    <d v="2026-01-02T02:43:00"/>
    <n v="1499"/>
    <s v="UPI"/>
    <x v="0"/>
    <n v="72"/>
    <s v="Merchant_035"/>
    <s v="recharge"/>
    <s v="East"/>
    <n v="2.0000000000000001E-4"/>
    <d v="2026-01-02T00:00:00"/>
    <n v="1847"/>
    <s v="Normal Merchant Day"/>
  </r>
  <r>
    <s v="TXN100477"/>
    <n v="162"/>
    <x v="27"/>
    <d v="2026-01-22T01:11:00"/>
    <n v="299"/>
    <s v="Wallet"/>
    <x v="0"/>
    <n v="26"/>
    <s v="Merchant_002"/>
    <s v="grocery"/>
    <s v="West"/>
    <n v="5.0000000000000001E-4"/>
    <d v="2026-01-22T00:00:00"/>
    <n v="299"/>
    <s v="Normal Merchant Day"/>
  </r>
  <r>
    <s v="TXN100478"/>
    <n v="204"/>
    <x v="32"/>
    <d v="2026-01-19T04:48:00"/>
    <n v="49"/>
    <s v="UPI"/>
    <x v="0"/>
    <n v="38"/>
    <s v="Merchant_005"/>
    <s v="recharge"/>
    <s v="South"/>
    <n v="2.0000000000000001E-4"/>
    <d v="2026-01-19T00:00:00"/>
    <n v="49"/>
    <s v="Normal Merchant Day"/>
  </r>
  <r>
    <s v="TXN100479"/>
    <n v="291"/>
    <x v="14"/>
    <d v="2026-01-06T18:15:00"/>
    <n v="99"/>
    <s v="Wallet"/>
    <x v="0"/>
    <n v="86"/>
    <s v="Merchant_025"/>
    <s v="travel"/>
    <s v="South"/>
    <n v="5.0000000000000001E-4"/>
    <d v="2026-01-06T00:00:00"/>
    <n v="898"/>
    <s v="Normal Merchant Day"/>
  </r>
  <r>
    <s v="TXN100480"/>
    <n v="197"/>
    <x v="39"/>
    <d v="2026-01-29T17:21:00"/>
    <n v="49"/>
    <s v="Wallet"/>
    <x v="1"/>
    <n v="88"/>
    <s v="Merchant_009"/>
    <s v="ecommerce"/>
    <s v="North"/>
    <n v="5.0000000000000001E-4"/>
    <d v="2026-01-29T00:00:00"/>
    <n v="49"/>
    <s v="Normal Merchant Day"/>
  </r>
  <r>
    <s v="TXN100481"/>
    <n v="178"/>
    <x v="29"/>
    <d v="2026-01-24T02:32:00"/>
    <n v="1499"/>
    <s v="UPI"/>
    <x v="0"/>
    <n v="12"/>
    <s v="Merchant_004"/>
    <s v="ecommerce"/>
    <s v="East"/>
    <n v="2.0000000000000001E-4"/>
    <d v="2026-01-24T00:00:00"/>
    <n v="1499"/>
    <s v="Normal Merchant Day"/>
  </r>
  <r>
    <s v="TXN100482"/>
    <n v="39"/>
    <x v="3"/>
    <d v="2026-01-14T07:53:00"/>
    <n v="799"/>
    <s v="Netbanking"/>
    <x v="0"/>
    <n v="77"/>
    <s v="Merchant_022"/>
    <s v="travel"/>
    <s v="South"/>
    <n v="0.01"/>
    <d v="2026-01-14T00:00:00"/>
    <n v="799"/>
    <s v="Normal Merchant Day"/>
  </r>
  <r>
    <s v="TXN100483"/>
    <n v="204"/>
    <x v="17"/>
    <d v="2026-01-25T19:38:00"/>
    <n v="299"/>
    <s v="Wallet"/>
    <x v="0"/>
    <n v="3"/>
    <s v="Merchant_021"/>
    <s v="food_delivery"/>
    <s v="East"/>
    <n v="5.0000000000000001E-4"/>
    <d v="2026-01-25T00:00:00"/>
    <n v="299"/>
    <s v="Normal Merchant Day"/>
  </r>
  <r>
    <s v="TXN100484"/>
    <n v="231"/>
    <x v="33"/>
    <d v="2026-01-21T08:50:00"/>
    <n v="299"/>
    <s v="UPI"/>
    <x v="0"/>
    <n v="29"/>
    <s v="Merchant_032"/>
    <s v="food_delivery"/>
    <s v="West"/>
    <n v="2.0000000000000001E-4"/>
    <d v="2026-01-21T00:00:00"/>
    <n v="348"/>
    <s v="Normal Merchant Day"/>
  </r>
  <r>
    <s v="TXN100485"/>
    <n v="222"/>
    <x v="9"/>
    <d v="2026-01-12T17:24:00"/>
    <n v="499"/>
    <s v="Wallet"/>
    <x v="1"/>
    <n v="87"/>
    <s v="Merchant_012"/>
    <s v="ecommerce"/>
    <s v="East"/>
    <n v="5.0000000000000001E-4"/>
    <d v="2026-01-12T00:00:00"/>
    <n v="1998"/>
    <s v="Normal Merchant Day"/>
  </r>
  <r>
    <s v="TXN100486"/>
    <n v="44"/>
    <x v="12"/>
    <d v="2026-01-19T21:24:00"/>
    <n v="499"/>
    <s v="UPI"/>
    <x v="0"/>
    <n v="37"/>
    <s v="Merchant_040"/>
    <s v="entertainment"/>
    <s v="South"/>
    <n v="2.0000000000000001E-4"/>
    <d v="2026-01-19T00:00:00"/>
    <n v="648"/>
    <s v="Normal Merchant Day"/>
  </r>
  <r>
    <s v="TXN100487"/>
    <n v="38"/>
    <x v="18"/>
    <d v="2026-01-26T07:45:00"/>
    <n v="49"/>
    <s v="Wallet"/>
    <x v="0"/>
    <n v="34"/>
    <s v="Merchant_006"/>
    <s v="food_delivery"/>
    <s v="South"/>
    <n v="5.0000000000000001E-4"/>
    <d v="2026-01-26T00:00:00"/>
    <n v="897"/>
    <s v="Normal Merchant Day"/>
  </r>
  <r>
    <s v="TXN100488"/>
    <n v="325"/>
    <x v="34"/>
    <d v="2026-01-05T12:45:00"/>
    <n v="49"/>
    <s v="Netbanking"/>
    <x v="2"/>
    <n v="94"/>
    <s v="Merchant_010"/>
    <s v="grocery"/>
    <s v="West"/>
    <n v="0.01"/>
    <d v="2026-01-05T00:00:00"/>
    <n v="49"/>
    <s v="Normal Merchant Day"/>
  </r>
  <r>
    <s v="TXN100489"/>
    <n v="55"/>
    <x v="18"/>
    <d v="2026-01-13T10:23:00"/>
    <n v="1499"/>
    <s v="Card"/>
    <x v="0"/>
    <n v="0"/>
    <s v="Merchant_006"/>
    <s v="food_delivery"/>
    <s v="South"/>
    <n v="1.4999999999999999E-2"/>
    <d v="2026-01-13T00:00:00"/>
    <n v="1499"/>
    <s v="Normal Merchant Day"/>
  </r>
  <r>
    <s v="TXN100490"/>
    <n v="139"/>
    <x v="23"/>
    <d v="2026-01-10T14:23:00"/>
    <n v="499"/>
    <s v="Card"/>
    <x v="0"/>
    <n v="16"/>
    <s v="Merchant_007"/>
    <s v="food_delivery"/>
    <s v="East"/>
    <n v="1.4999999999999999E-2"/>
    <d v="2026-01-10T00:00:00"/>
    <n v="499"/>
    <s v="Normal Merchant Day"/>
  </r>
  <r>
    <s v="TXN100491"/>
    <n v="230"/>
    <x v="25"/>
    <d v="2026-01-03T05:27:00"/>
    <n v="99"/>
    <s v="Wallet"/>
    <x v="0"/>
    <n v="71"/>
    <s v="Merchant_036"/>
    <s v="entertainment"/>
    <s v="East"/>
    <n v="5.0000000000000001E-4"/>
    <d v="2026-01-03T00:00:00"/>
    <n v="248"/>
    <s v="Normal Merchant Day"/>
  </r>
  <r>
    <s v="TXN100492"/>
    <n v="14"/>
    <x v="18"/>
    <d v="2026-01-17T13:06:00"/>
    <n v="799"/>
    <s v="Card"/>
    <x v="0"/>
    <n v="45"/>
    <s v="Merchant_006"/>
    <s v="food_delivery"/>
    <s v="South"/>
    <n v="1.4999999999999999E-2"/>
    <d v="2026-01-17T00:00:00"/>
    <n v="799"/>
    <s v="Normal Merchant Day"/>
  </r>
  <r>
    <s v="TXN100493"/>
    <n v="307"/>
    <x v="17"/>
    <d v="2026-01-18T02:38:00"/>
    <n v="799"/>
    <s v="UPI"/>
    <x v="0"/>
    <n v="49"/>
    <s v="Merchant_021"/>
    <s v="food_delivery"/>
    <s v="East"/>
    <n v="2.0000000000000001E-4"/>
    <d v="2026-01-18T00:00:00"/>
    <n v="799"/>
    <s v="Normal Merchant Day"/>
  </r>
  <r>
    <s v="TXN100494"/>
    <n v="199"/>
    <x v="18"/>
    <d v="2026-01-01T09:26:00"/>
    <n v="49"/>
    <s v="UPI"/>
    <x v="0"/>
    <n v="92"/>
    <s v="Merchant_006"/>
    <s v="food_delivery"/>
    <s v="South"/>
    <n v="2.0000000000000001E-4"/>
    <d v="2026-01-01T00:00:00"/>
    <n v="49"/>
    <s v="Normal Merchant Day"/>
  </r>
  <r>
    <s v="TXN100495"/>
    <n v="125"/>
    <x v="21"/>
    <d v="2026-01-29T17:57:00"/>
    <n v="149"/>
    <s v="Wallet"/>
    <x v="0"/>
    <n v="66"/>
    <s v="Merchant_037"/>
    <s v="entertainment"/>
    <s v="South"/>
    <n v="5.0000000000000001E-4"/>
    <d v="2026-01-29T00:00:00"/>
    <n v="149"/>
    <s v="Normal Merchant Day"/>
  </r>
  <r>
    <s v="TXN100496"/>
    <n v="87"/>
    <x v="39"/>
    <d v="2026-01-06T21:24:00"/>
    <n v="149"/>
    <s v="UPI"/>
    <x v="0"/>
    <n v="34"/>
    <s v="Merchant_009"/>
    <s v="ecommerce"/>
    <s v="North"/>
    <n v="2.0000000000000001E-4"/>
    <d v="2026-01-06T00:00:00"/>
    <n v="149"/>
    <s v="Normal Merchant Day"/>
  </r>
  <r>
    <s v="TXN100497"/>
    <n v="75"/>
    <x v="32"/>
    <d v="2026-01-10T08:31:00"/>
    <n v="99"/>
    <s v="UPI"/>
    <x v="0"/>
    <n v="21"/>
    <s v="Merchant_005"/>
    <s v="recharge"/>
    <s v="South"/>
    <n v="2.0000000000000001E-4"/>
    <d v="2026-01-10T00:00:00"/>
    <n v="99"/>
    <s v="Normal Merchant Day"/>
  </r>
  <r>
    <s v="TXN100498"/>
    <n v="154"/>
    <x v="20"/>
    <d v="2026-01-14T08:26:00"/>
    <n v="499"/>
    <s v="Wallet"/>
    <x v="0"/>
    <n v="100"/>
    <s v="Merchant_031"/>
    <s v="bill_payment"/>
    <s v="East"/>
    <n v="5.0000000000000001E-4"/>
    <d v="2026-01-14T00:00:00"/>
    <n v="499"/>
    <s v="Normal Merchant Day"/>
  </r>
  <r>
    <s v="TXN100499"/>
    <n v="127"/>
    <x v="33"/>
    <d v="2026-01-03T11:16:00"/>
    <n v="149"/>
    <s v="Card"/>
    <x v="0"/>
    <n v="76"/>
    <s v="Merchant_032"/>
    <s v="food_delivery"/>
    <s v="West"/>
    <n v="1.4999999999999999E-2"/>
    <d v="2026-01-03T00:00:00"/>
    <n v="149"/>
    <s v="Normal Merchant Day"/>
  </r>
  <r>
    <s v="TXN200000"/>
    <n v="351"/>
    <x v="23"/>
    <d v="2026-01-30T06:00:00"/>
    <n v="1999"/>
    <s v="Card"/>
    <x v="2"/>
    <n v="79"/>
    <s v="Merchant_007"/>
    <s v="food_delivery"/>
    <s v="East"/>
    <n v="1.4999999999999999E-2"/>
    <d v="2026-01-30T00:00:00"/>
    <n v="1999"/>
    <s v="Normal Merchant Day"/>
  </r>
  <r>
    <s v="TXN200001"/>
    <n v="352"/>
    <x v="12"/>
    <d v="2026-01-11T12:00:00"/>
    <n v="4999"/>
    <s v="Card"/>
    <x v="2"/>
    <n v="95"/>
    <s v="Merchant_040"/>
    <s v="entertainment"/>
    <s v="South"/>
    <n v="1.4999999999999999E-2"/>
    <d v="2026-01-11T00:00:00"/>
    <n v="4999"/>
    <s v="Normal Merchant Day"/>
  </r>
  <r>
    <s v="TXN200002"/>
    <n v="353"/>
    <x v="10"/>
    <d v="2026-01-21T14:00:00"/>
    <n v="1999"/>
    <s v="Card"/>
    <x v="2"/>
    <n v="79"/>
    <s v="Merchant_028"/>
    <s v="ecommerce"/>
    <s v="South"/>
    <n v="1.4999999999999999E-2"/>
    <d v="2026-01-21T00:00:00"/>
    <n v="1999"/>
    <s v="Normal Merchant Day"/>
  </r>
  <r>
    <s v="TXN200003"/>
    <n v="354"/>
    <x v="6"/>
    <d v="2026-01-21T19:00:00"/>
    <n v="4999"/>
    <s v="Card"/>
    <x v="2"/>
    <n v="80"/>
    <s v="Merchant_013"/>
    <s v="travel"/>
    <s v="East"/>
    <n v="1.4999999999999999E-2"/>
    <d v="2026-01-21T00:00:00"/>
    <n v="4999"/>
    <s v="Normal Merchant Day"/>
  </r>
  <r>
    <s v="TXN200004"/>
    <n v="355"/>
    <x v="13"/>
    <d v="2026-01-16T12:00:00"/>
    <n v="4999"/>
    <s v="Card"/>
    <x v="2"/>
    <n v="100"/>
    <s v="Merchant_019"/>
    <s v="grocery"/>
    <s v="North"/>
    <n v="1.4999999999999999E-2"/>
    <d v="2026-01-16T00:00:00"/>
    <n v="4999"/>
    <s v="Normal Merchant Day"/>
  </r>
  <r>
    <s v="TXN200005"/>
    <n v="356"/>
    <x v="14"/>
    <d v="2026-01-29T07:00:00"/>
    <n v="2999"/>
    <s v="Card"/>
    <x v="2"/>
    <n v="96"/>
    <s v="Merchant_025"/>
    <s v="travel"/>
    <s v="South"/>
    <n v="1.4999999999999999E-2"/>
    <d v="2026-01-29T00:00:00"/>
    <n v="3048"/>
    <s v="Normal Merchant Day"/>
  </r>
  <r>
    <s v="TXN200006"/>
    <n v="357"/>
    <x v="21"/>
    <d v="2026-01-23T11:00:00"/>
    <n v="1999"/>
    <s v="Card"/>
    <x v="2"/>
    <n v="88"/>
    <s v="Merchant_037"/>
    <s v="entertainment"/>
    <s v="South"/>
    <n v="1.4999999999999999E-2"/>
    <d v="2026-01-23T00:00:00"/>
    <n v="1999"/>
    <s v="Normal Merchant Day"/>
  </r>
  <r>
    <s v="TXN200007"/>
    <n v="358"/>
    <x v="25"/>
    <d v="2026-01-28T05:00:00"/>
    <n v="999"/>
    <s v="Card"/>
    <x v="2"/>
    <n v="100"/>
    <s v="Merchant_036"/>
    <s v="entertainment"/>
    <s v="East"/>
    <n v="1.4999999999999999E-2"/>
    <d v="2026-01-28T00:00:00"/>
    <n v="999"/>
    <s v="Normal Merchant Day"/>
  </r>
  <r>
    <s v="TXN200008"/>
    <n v="359"/>
    <x v="26"/>
    <d v="2026-01-25T22:00:00"/>
    <n v="2999"/>
    <s v="Card"/>
    <x v="2"/>
    <n v="96"/>
    <s v="Merchant_029"/>
    <s v="ecommerce"/>
    <s v="North"/>
    <n v="1.4999999999999999E-2"/>
    <d v="2026-01-25T00:00:00"/>
    <n v="3896"/>
    <s v="Normal Merchant Day"/>
  </r>
  <r>
    <s v="TXN200009"/>
    <n v="360"/>
    <x v="33"/>
    <d v="2026-01-13T13:00:00"/>
    <n v="1999"/>
    <s v="Card"/>
    <x v="2"/>
    <n v="90"/>
    <s v="Merchant_032"/>
    <s v="food_delivery"/>
    <s v="West"/>
    <n v="1.4999999999999999E-2"/>
    <d v="2026-01-13T00:00:00"/>
    <n v="1999"/>
    <s v="Normal Merchant Day"/>
  </r>
  <r>
    <s v="TXN200010"/>
    <n v="361"/>
    <x v="34"/>
    <d v="2026-01-20T07:00:00"/>
    <n v="4999"/>
    <s v="Card"/>
    <x v="2"/>
    <n v="95"/>
    <s v="Merchant_010"/>
    <s v="grocery"/>
    <s v="West"/>
    <n v="1.4999999999999999E-2"/>
    <d v="2026-01-20T00:00:00"/>
    <n v="4999"/>
    <s v="Normal Merchant Day"/>
  </r>
  <r>
    <s v="TXN200011"/>
    <n v="362"/>
    <x v="38"/>
    <d v="2026-01-23T02:00:00"/>
    <n v="4999"/>
    <s v="Card"/>
    <x v="2"/>
    <n v="88"/>
    <s v="Merchant_039"/>
    <s v="entertainment"/>
    <s v="North"/>
    <n v="1.4999999999999999E-2"/>
    <d v="2026-01-23T00:00:00"/>
    <n v="4999"/>
    <s v="Normal Merchant Day"/>
  </r>
  <r>
    <s v="TXN200012"/>
    <n v="363"/>
    <x v="1"/>
    <d v="2026-01-23T17:00:00"/>
    <n v="999"/>
    <s v="Card"/>
    <x v="2"/>
    <n v="95"/>
    <s v="Merchant_027"/>
    <s v="ecommerce"/>
    <s v="North"/>
    <n v="1.4999999999999999E-2"/>
    <d v="2026-01-23T00:00:00"/>
    <n v="3998"/>
    <s v="Normal Merchant Day"/>
  </r>
  <r>
    <s v="TXN200013"/>
    <n v="364"/>
    <x v="38"/>
    <d v="2026-01-22T22:00:00"/>
    <n v="999"/>
    <s v="Card"/>
    <x v="2"/>
    <n v="73"/>
    <s v="Merchant_039"/>
    <s v="entertainment"/>
    <s v="North"/>
    <n v="1.4999999999999999E-2"/>
    <d v="2026-01-22T00:00:00"/>
    <n v="9796"/>
    <s v="High-Value Merchant Day"/>
  </r>
  <r>
    <s v="TXN200014"/>
    <n v="365"/>
    <x v="5"/>
    <d v="2026-01-18T21:00:00"/>
    <n v="1999"/>
    <s v="Card"/>
    <x v="2"/>
    <n v="90"/>
    <s v="Merchant_023"/>
    <s v="travel"/>
    <s v="North"/>
    <n v="1.4999999999999999E-2"/>
    <d v="2026-01-18T00:00:00"/>
    <n v="1999"/>
    <s v="Normal Merchant Day"/>
  </r>
  <r>
    <s v="TXN300000"/>
    <n v="314"/>
    <x v="22"/>
    <d v="2026-01-02T18:00:00"/>
    <n v="399"/>
    <s v="Card"/>
    <x v="1"/>
    <n v="87"/>
    <s v="Merchant_026"/>
    <s v="food_delivery"/>
    <s v="East"/>
    <n v="1.4999999999999999E-2"/>
    <d v="2026-01-02T00:00:00"/>
    <n v="399"/>
    <s v="Normal Merchant Day"/>
  </r>
  <r>
    <s v="TXN300001"/>
    <n v="314"/>
    <x v="23"/>
    <d v="2026-01-02T18:01:00"/>
    <n v="299"/>
    <s v="Card"/>
    <x v="1"/>
    <n v="66"/>
    <s v="Merchant_007"/>
    <s v="food_delivery"/>
    <s v="East"/>
    <n v="1.4999999999999999E-2"/>
    <d v="2026-01-02T00:00:00"/>
    <n v="3797"/>
    <s v="Normal Merchant Day"/>
  </r>
  <r>
    <s v="TXN300002"/>
    <n v="314"/>
    <x v="28"/>
    <d v="2026-01-02T18:02:00"/>
    <n v="299"/>
    <s v="Card"/>
    <x v="1"/>
    <n v="92"/>
    <s v="Merchant_017"/>
    <s v="grocery"/>
    <s v="North"/>
    <n v="1.4999999999999999E-2"/>
    <d v="2026-01-02T00:00:00"/>
    <n v="299"/>
    <s v="Normal Merchant Day"/>
  </r>
  <r>
    <s v="TXN300003"/>
    <n v="314"/>
    <x v="36"/>
    <d v="2026-01-02T18:03:00"/>
    <n v="499"/>
    <s v="Card"/>
    <x v="0"/>
    <n v="74"/>
    <s v="Merchant_034"/>
    <s v="travel"/>
    <s v="South"/>
    <n v="1.4999999999999999E-2"/>
    <d v="2026-01-02T00:00:00"/>
    <n v="548"/>
    <s v="Normal Merchant Day"/>
  </r>
  <r>
    <s v="TXN300004"/>
    <n v="229"/>
    <x v="24"/>
    <d v="2026-01-12T12:00:00"/>
    <n v="499"/>
    <s v="Card"/>
    <x v="1"/>
    <n v="92"/>
    <s v="Merchant_030"/>
    <s v="travel"/>
    <s v="West"/>
    <n v="1.4999999999999999E-2"/>
    <d v="2026-01-12T00:00:00"/>
    <n v="499"/>
    <s v="Normal Merchant Day"/>
  </r>
  <r>
    <s v="TXN300005"/>
    <n v="229"/>
    <x v="34"/>
    <d v="2026-01-12T12:01:00"/>
    <n v="399"/>
    <s v="Card"/>
    <x v="1"/>
    <n v="61"/>
    <s v="Merchant_010"/>
    <s v="grocery"/>
    <s v="West"/>
    <n v="1.4999999999999999E-2"/>
    <d v="2026-01-12T00:00:00"/>
    <n v="399"/>
    <s v="Normal Merchant Day"/>
  </r>
  <r>
    <s v="TXN300006"/>
    <n v="229"/>
    <x v="20"/>
    <d v="2026-01-12T12:02:00"/>
    <n v="299"/>
    <s v="Card"/>
    <x v="1"/>
    <n v="78"/>
    <s v="Merchant_031"/>
    <s v="bill_payment"/>
    <s v="East"/>
    <n v="1.4999999999999999E-2"/>
    <d v="2026-01-12T00:00:00"/>
    <n v="598"/>
    <s v="Normal Merchant Day"/>
  </r>
  <r>
    <s v="TXN300007"/>
    <n v="229"/>
    <x v="1"/>
    <d v="2026-01-12T12:03:00"/>
    <n v="299"/>
    <s v="Card"/>
    <x v="0"/>
    <n v="67"/>
    <s v="Merchant_027"/>
    <s v="ecommerce"/>
    <s v="North"/>
    <n v="1.4999999999999999E-2"/>
    <d v="2026-01-12T00:00:00"/>
    <n v="299"/>
    <s v="Normal Merchant Day"/>
  </r>
  <r>
    <s v="TXN300008"/>
    <n v="73"/>
    <x v="3"/>
    <d v="2026-01-12T09:00:00"/>
    <n v="399"/>
    <s v="Card"/>
    <x v="1"/>
    <n v="73"/>
    <s v="Merchant_022"/>
    <s v="travel"/>
    <s v="South"/>
    <n v="1.4999999999999999E-2"/>
    <d v="2026-01-12T00:00:00"/>
    <n v="1697"/>
    <s v="Normal Merchant Day"/>
  </r>
  <r>
    <s v="TXN300009"/>
    <n v="73"/>
    <x v="36"/>
    <d v="2026-01-12T09:01:00"/>
    <n v="399"/>
    <s v="Card"/>
    <x v="1"/>
    <n v="82"/>
    <s v="Merchant_034"/>
    <s v="travel"/>
    <s v="South"/>
    <n v="1.4999999999999999E-2"/>
    <d v="2026-01-12T00:00:00"/>
    <n v="399"/>
    <s v="Normal Merchant Day"/>
  </r>
  <r>
    <s v="TXN300010"/>
    <n v="73"/>
    <x v="20"/>
    <d v="2026-01-12T09:02:00"/>
    <n v="299"/>
    <s v="Card"/>
    <x v="1"/>
    <n v="88"/>
    <s v="Merchant_031"/>
    <s v="bill_payment"/>
    <s v="East"/>
    <n v="1.4999999999999999E-2"/>
    <d v="2026-01-12T00:00:00"/>
    <n v="598"/>
    <s v="Normal Merchant Day"/>
  </r>
  <r>
    <s v="TXN300011"/>
    <n v="73"/>
    <x v="26"/>
    <d v="2026-01-12T09:03:00"/>
    <n v="399"/>
    <s v="Card"/>
    <x v="0"/>
    <n v="64"/>
    <s v="Merchant_029"/>
    <s v="ecommerce"/>
    <s v="North"/>
    <n v="1.4999999999999999E-2"/>
    <d v="2026-01-12T00:00:00"/>
    <n v="399"/>
    <s v="Normal Merchant Day"/>
  </r>
  <r>
    <s v="TXN300012"/>
    <n v="154"/>
    <x v="30"/>
    <d v="2026-01-02T22:00:00"/>
    <n v="299"/>
    <s v="Card"/>
    <x v="1"/>
    <n v="81"/>
    <s v="Merchant_008"/>
    <s v="food_delivery"/>
    <s v="North"/>
    <n v="1.4999999999999999E-2"/>
    <d v="2026-01-02T00:00:00"/>
    <n v="299"/>
    <s v="Normal Merchant Day"/>
  </r>
  <r>
    <s v="TXN300013"/>
    <n v="154"/>
    <x v="23"/>
    <d v="2026-01-02T22:01:00"/>
    <n v="499"/>
    <s v="Card"/>
    <x v="1"/>
    <n v="70"/>
    <s v="Merchant_007"/>
    <s v="food_delivery"/>
    <s v="East"/>
    <n v="1.4999999999999999E-2"/>
    <d v="2026-01-02T00:00:00"/>
    <n v="3797"/>
    <s v="Normal Merchant Day"/>
  </r>
  <r>
    <s v="TXN300014"/>
    <n v="154"/>
    <x v="0"/>
    <d v="2026-01-02T22:02:00"/>
    <n v="499"/>
    <s v="Card"/>
    <x v="1"/>
    <n v="71"/>
    <s v="Merchant_016"/>
    <s v="bill_payment"/>
    <s v="West"/>
    <n v="1.4999999999999999E-2"/>
    <d v="2026-01-02T00:00:00"/>
    <n v="499"/>
    <s v="Normal Merchant Day"/>
  </r>
  <r>
    <s v="TXN300015"/>
    <n v="154"/>
    <x v="25"/>
    <d v="2026-01-02T22:03:00"/>
    <n v="299"/>
    <s v="Card"/>
    <x v="0"/>
    <n v="81"/>
    <s v="Merchant_036"/>
    <s v="entertainment"/>
    <s v="East"/>
    <n v="1.4999999999999999E-2"/>
    <d v="2026-01-02T00:00:00"/>
    <n v="299"/>
    <s v="Normal Merchant Day"/>
  </r>
  <r>
    <s v="TXN300016"/>
    <n v="287"/>
    <x v="19"/>
    <d v="2026-01-14T14:00:00"/>
    <n v="399"/>
    <s v="Card"/>
    <x v="1"/>
    <n v="71"/>
    <s v="Merchant_015"/>
    <s v="travel"/>
    <s v="North"/>
    <n v="1.4999999999999999E-2"/>
    <d v="2026-01-14T00:00:00"/>
    <n v="399"/>
    <s v="Normal Merchant Day"/>
  </r>
  <r>
    <s v="TXN300017"/>
    <n v="287"/>
    <x v="9"/>
    <d v="2026-01-14T14:01:00"/>
    <n v="499"/>
    <s v="Card"/>
    <x v="1"/>
    <n v="87"/>
    <s v="Merchant_012"/>
    <s v="ecommerce"/>
    <s v="East"/>
    <n v="1.4999999999999999E-2"/>
    <d v="2026-01-14T00:00:00"/>
    <n v="548"/>
    <s v="Normal Merchant Day"/>
  </r>
  <r>
    <s v="TXN300018"/>
    <n v="287"/>
    <x v="22"/>
    <d v="2026-01-14T14:02:00"/>
    <n v="299"/>
    <s v="Card"/>
    <x v="1"/>
    <n v="72"/>
    <s v="Merchant_026"/>
    <s v="food_delivery"/>
    <s v="East"/>
    <n v="1.4999999999999999E-2"/>
    <d v="2026-01-14T00:00:00"/>
    <n v="299"/>
    <s v="Normal Merchant Day"/>
  </r>
  <r>
    <s v="TXN300019"/>
    <n v="287"/>
    <x v="26"/>
    <d v="2026-01-14T14:03:00"/>
    <n v="499"/>
    <s v="Card"/>
    <x v="0"/>
    <n v="87"/>
    <s v="Merchant_029"/>
    <s v="ecommerce"/>
    <s v="North"/>
    <n v="1.4999999999999999E-2"/>
    <d v="2026-01-14T00:00:00"/>
    <n v="1998"/>
    <s v="Normal Merchant Day"/>
  </r>
  <r>
    <s v="TXN300020"/>
    <n v="200"/>
    <x v="16"/>
    <d v="2026-01-01T22:00:00"/>
    <n v="299"/>
    <s v="Card"/>
    <x v="1"/>
    <n v="77"/>
    <s v="Merchant_014"/>
    <s v="grocery"/>
    <s v="East"/>
    <n v="1.4999999999999999E-2"/>
    <d v="2026-01-01T00:00:00"/>
    <n v="299"/>
    <s v="Normal Merchant Day"/>
  </r>
  <r>
    <s v="TXN300021"/>
    <n v="200"/>
    <x v="32"/>
    <d v="2026-01-01T22:01:00"/>
    <n v="499"/>
    <s v="Card"/>
    <x v="1"/>
    <n v="66"/>
    <s v="Merchant_005"/>
    <s v="recharge"/>
    <s v="South"/>
    <n v="1.4999999999999999E-2"/>
    <d v="2026-01-01T00:00:00"/>
    <n v="499"/>
    <s v="Normal Merchant Day"/>
  </r>
  <r>
    <s v="TXN300022"/>
    <n v="200"/>
    <x v="8"/>
    <d v="2026-01-01T22:02:00"/>
    <n v="299"/>
    <s v="Card"/>
    <x v="1"/>
    <n v="83"/>
    <s v="Merchant_035"/>
    <s v="recharge"/>
    <s v="East"/>
    <n v="1.4999999999999999E-2"/>
    <d v="2026-01-01T00:00:00"/>
    <n v="798"/>
    <s v="Normal Merchant Day"/>
  </r>
  <r>
    <s v="TXN300023"/>
    <n v="200"/>
    <x v="17"/>
    <d v="2026-01-01T22:03:00"/>
    <n v="299"/>
    <s v="Card"/>
    <x v="0"/>
    <n v="89"/>
    <s v="Merchant_021"/>
    <s v="food_delivery"/>
    <s v="East"/>
    <n v="1.4999999999999999E-2"/>
    <d v="2026-01-01T00:00:00"/>
    <n v="5298"/>
    <s v="Normal Merchant Day"/>
  </r>
  <r>
    <s v="TXN300024"/>
    <n v="59"/>
    <x v="33"/>
    <d v="2026-01-09T21:00:00"/>
    <n v="499"/>
    <s v="Card"/>
    <x v="1"/>
    <n v="80"/>
    <s v="Merchant_032"/>
    <s v="food_delivery"/>
    <s v="West"/>
    <n v="1.4999999999999999E-2"/>
    <d v="2026-01-09T00:00:00"/>
    <n v="499"/>
    <s v="Normal Merchant Day"/>
  </r>
  <r>
    <s v="TXN300025"/>
    <n v="59"/>
    <x v="38"/>
    <d v="2026-01-09T21:01:00"/>
    <n v="399"/>
    <s v="Card"/>
    <x v="1"/>
    <n v="85"/>
    <s v="Merchant_039"/>
    <s v="entertainment"/>
    <s v="North"/>
    <n v="1.4999999999999999E-2"/>
    <d v="2026-01-09T00:00:00"/>
    <n v="399"/>
    <s v="Normal Merchant Day"/>
  </r>
  <r>
    <s v="TXN300026"/>
    <n v="59"/>
    <x v="35"/>
    <d v="2026-01-09T21:02:00"/>
    <n v="299"/>
    <s v="Card"/>
    <x v="1"/>
    <n v="82"/>
    <s v="Merchant_038"/>
    <s v="grocery"/>
    <s v="East"/>
    <n v="1.4999999999999999E-2"/>
    <d v="2026-01-09T00:00:00"/>
    <n v="348"/>
    <s v="Normal Merchant Day"/>
  </r>
  <r>
    <s v="TXN300027"/>
    <n v="59"/>
    <x v="5"/>
    <d v="2026-01-09T21:03:00"/>
    <n v="399"/>
    <s v="Card"/>
    <x v="0"/>
    <n v="71"/>
    <s v="Merchant_023"/>
    <s v="travel"/>
    <s v="North"/>
    <n v="1.4999999999999999E-2"/>
    <d v="2026-01-09T00:00:00"/>
    <n v="399"/>
    <s v="Normal Merchant Day"/>
  </r>
  <r>
    <s v="TXN300028"/>
    <n v="345"/>
    <x v="12"/>
    <d v="2026-01-23T09:00:00"/>
    <n v="499"/>
    <s v="Card"/>
    <x v="1"/>
    <n v="65"/>
    <s v="Merchant_040"/>
    <s v="entertainment"/>
    <s v="South"/>
    <n v="1.4999999999999999E-2"/>
    <d v="2026-01-23T00:00:00"/>
    <n v="598"/>
    <s v="Normal Merchant Day"/>
  </r>
  <r>
    <s v="TXN300029"/>
    <n v="345"/>
    <x v="39"/>
    <d v="2026-01-23T09:01:00"/>
    <n v="399"/>
    <s v="Card"/>
    <x v="1"/>
    <n v="67"/>
    <s v="Merchant_009"/>
    <s v="ecommerce"/>
    <s v="North"/>
    <n v="1.4999999999999999E-2"/>
    <d v="2026-01-23T00:00:00"/>
    <n v="898"/>
    <s v="Normal Merchant Day"/>
  </r>
  <r>
    <s v="TXN300030"/>
    <n v="345"/>
    <x v="0"/>
    <d v="2026-01-23T09:02:00"/>
    <n v="399"/>
    <s v="Card"/>
    <x v="1"/>
    <n v="67"/>
    <s v="Merchant_016"/>
    <s v="bill_payment"/>
    <s v="West"/>
    <n v="1.4999999999999999E-2"/>
    <d v="2026-01-23T00:00:00"/>
    <n v="399"/>
    <s v="Normal Merchant Day"/>
  </r>
  <r>
    <s v="TXN300031"/>
    <n v="345"/>
    <x v="9"/>
    <d v="2026-01-23T09:03:00"/>
    <n v="399"/>
    <s v="Card"/>
    <x v="0"/>
    <n v="69"/>
    <s v="Merchant_012"/>
    <s v="ecommerce"/>
    <s v="East"/>
    <n v="1.4999999999999999E-2"/>
    <d v="2026-01-23T00:00:00"/>
    <n v="448"/>
    <s v="Normal Merchant D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B637D-E933-4B38-8F59-99D4BE70010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87" firstHeaderRow="0" firstDataRow="1" firstDataCol="1"/>
  <pivotFields count="13">
    <pivotField dataField="1" showAll="0"/>
    <pivotField showAll="0"/>
    <pivotField axis="axisRow" showAll="0">
      <items count="41"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  <item t="default"/>
      </items>
    </pivotField>
    <pivotField numFmtId="22" showAll="0"/>
    <pivotField dataField="1" showAll="0"/>
    <pivotField showAll="0"/>
    <pivotField showAll="0"/>
    <pivotField showAll="0"/>
    <pivotField showAll="0"/>
    <pivotField showAll="0"/>
    <pivotField showAll="0"/>
    <pivotField numFmtId="10" showAll="0"/>
    <pivotField axis="axisRow" numFmtId="14" showAll="0">
      <items count="31">
        <item x="9"/>
        <item x="22"/>
        <item x="29"/>
        <item x="1"/>
        <item x="14"/>
        <item x="4"/>
        <item x="25"/>
        <item x="5"/>
        <item x="10"/>
        <item x="27"/>
        <item x="7"/>
        <item x="28"/>
        <item x="11"/>
        <item x="12"/>
        <item x="17"/>
        <item x="24"/>
        <item x="18"/>
        <item x="15"/>
        <item x="23"/>
        <item x="26"/>
        <item x="8"/>
        <item x="13"/>
        <item x="20"/>
        <item x="2"/>
        <item x="21"/>
        <item x="16"/>
        <item x="6"/>
        <item x="19"/>
        <item x="0"/>
        <item x="3"/>
        <item t="default"/>
      </items>
    </pivotField>
  </pivotFields>
  <rowFields count="2">
    <field x="2"/>
    <field x="12"/>
  </rowFields>
  <rowItems count="484">
    <i>
      <x/>
    </i>
    <i r="1">
      <x v="4"/>
    </i>
    <i r="1">
      <x v="5"/>
    </i>
    <i r="1">
      <x v="8"/>
    </i>
    <i r="1">
      <x v="10"/>
    </i>
    <i r="1">
      <x v="11"/>
    </i>
    <i r="1">
      <x v="16"/>
    </i>
    <i r="1">
      <x v="22"/>
    </i>
    <i>
      <x v="1"/>
    </i>
    <i r="1">
      <x v="6"/>
    </i>
    <i r="1">
      <x v="7"/>
    </i>
    <i r="1">
      <x v="11"/>
    </i>
    <i r="1">
      <x v="12"/>
    </i>
    <i r="1">
      <x v="14"/>
    </i>
    <i r="1">
      <x v="18"/>
    </i>
    <i r="1">
      <x v="21"/>
    </i>
    <i r="1">
      <x v="25"/>
    </i>
    <i r="1">
      <x v="29"/>
    </i>
    <i>
      <x v="2"/>
    </i>
    <i r="1">
      <x v="2"/>
    </i>
    <i r="1">
      <x v="4"/>
    </i>
    <i r="1">
      <x v="5"/>
    </i>
    <i r="1">
      <x v="6"/>
    </i>
    <i r="1">
      <x v="7"/>
    </i>
    <i r="1">
      <x v="12"/>
    </i>
    <i r="1">
      <x v="15"/>
    </i>
    <i r="1">
      <x v="19"/>
    </i>
    <i r="1">
      <x v="21"/>
    </i>
    <i r="1">
      <x v="22"/>
    </i>
    <i r="1">
      <x v="25"/>
    </i>
    <i r="1">
      <x v="28"/>
    </i>
    <i r="1">
      <x v="29"/>
    </i>
    <i>
      <x v="3"/>
    </i>
    <i r="1">
      <x v="1"/>
    </i>
    <i r="1">
      <x v="11"/>
    </i>
    <i r="1">
      <x v="12"/>
    </i>
    <i r="1">
      <x v="15"/>
    </i>
    <i r="1">
      <x v="16"/>
    </i>
    <i r="1">
      <x v="23"/>
    </i>
    <i r="1">
      <x v="24"/>
    </i>
    <i>
      <x v="4"/>
    </i>
    <i r="1">
      <x/>
    </i>
    <i r="1">
      <x v="2"/>
    </i>
    <i r="1">
      <x v="8"/>
    </i>
    <i r="1">
      <x v="9"/>
    </i>
    <i r="1">
      <x v="14"/>
    </i>
    <i r="1">
      <x v="16"/>
    </i>
    <i r="1">
      <x v="17"/>
    </i>
    <i r="1">
      <x v="18"/>
    </i>
    <i r="1">
      <x v="29"/>
    </i>
    <i>
      <x v="5"/>
    </i>
    <i r="1">
      <x/>
    </i>
    <i r="1">
      <x v="2"/>
    </i>
    <i r="1">
      <x v="4"/>
    </i>
    <i r="1">
      <x v="7"/>
    </i>
    <i r="1">
      <x v="8"/>
    </i>
    <i r="1">
      <x v="10"/>
    </i>
    <i r="1">
      <x v="12"/>
    </i>
    <i r="1">
      <x v="14"/>
    </i>
    <i r="1">
      <x v="16"/>
    </i>
    <i r="1">
      <x v="18"/>
    </i>
    <i r="1">
      <x v="20"/>
    </i>
    <i r="1">
      <x v="25"/>
    </i>
    <i>
      <x v="6"/>
    </i>
    <i r="1">
      <x v="1"/>
    </i>
    <i r="1">
      <x v="2"/>
    </i>
    <i r="1">
      <x v="4"/>
    </i>
    <i r="1">
      <x v="7"/>
    </i>
    <i r="1">
      <x v="9"/>
    </i>
    <i r="1">
      <x v="14"/>
    </i>
    <i r="1">
      <x v="16"/>
    </i>
    <i r="1">
      <x v="20"/>
    </i>
    <i r="1">
      <x v="23"/>
    </i>
    <i r="1">
      <x v="24"/>
    </i>
    <i r="1">
      <x v="29"/>
    </i>
    <i>
      <x v="7"/>
    </i>
    <i r="1">
      <x v="1"/>
    </i>
    <i r="1">
      <x v="2"/>
    </i>
    <i r="1">
      <x v="5"/>
    </i>
    <i r="1">
      <x v="7"/>
    </i>
    <i r="1">
      <x v="10"/>
    </i>
    <i r="1">
      <x v="11"/>
    </i>
    <i r="1">
      <x v="15"/>
    </i>
    <i r="1">
      <x v="16"/>
    </i>
    <i r="1">
      <x v="17"/>
    </i>
    <i r="1">
      <x v="18"/>
    </i>
    <i r="1">
      <x v="25"/>
    </i>
    <i r="1">
      <x v="26"/>
    </i>
    <i r="1">
      <x v="29"/>
    </i>
    <i>
      <x v="8"/>
    </i>
    <i r="1">
      <x/>
    </i>
    <i r="1">
      <x v="3"/>
    </i>
    <i r="1">
      <x v="4"/>
    </i>
    <i r="1">
      <x v="5"/>
    </i>
    <i r="1">
      <x v="8"/>
    </i>
    <i r="1">
      <x v="9"/>
    </i>
    <i r="1">
      <x v="11"/>
    </i>
    <i r="1">
      <x v="14"/>
    </i>
    <i r="1">
      <x v="16"/>
    </i>
    <i r="1">
      <x v="17"/>
    </i>
    <i r="1">
      <x v="18"/>
    </i>
    <i r="1">
      <x v="21"/>
    </i>
    <i r="1">
      <x v="22"/>
    </i>
    <i r="1">
      <x v="28"/>
    </i>
    <i>
      <x v="9"/>
    </i>
    <i r="1">
      <x v="4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8"/>
    </i>
    <i r="1">
      <x v="19"/>
    </i>
    <i r="1">
      <x v="20"/>
    </i>
    <i r="1">
      <x v="28"/>
    </i>
    <i>
      <x v="10"/>
    </i>
    <i r="1">
      <x v="3"/>
    </i>
    <i r="1">
      <x v="5"/>
    </i>
    <i r="1">
      <x v="6"/>
    </i>
    <i r="1">
      <x v="10"/>
    </i>
    <i r="1">
      <x v="17"/>
    </i>
    <i r="1">
      <x v="19"/>
    </i>
    <i r="1">
      <x v="20"/>
    </i>
    <i r="1">
      <x v="23"/>
    </i>
    <i r="1">
      <x v="28"/>
    </i>
    <i>
      <x v="11"/>
    </i>
    <i r="1">
      <x/>
    </i>
    <i r="1">
      <x v="8"/>
    </i>
    <i r="1">
      <x v="11"/>
    </i>
    <i r="1">
      <x v="13"/>
    </i>
    <i r="1">
      <x v="17"/>
    </i>
    <i r="1">
      <x v="21"/>
    </i>
    <i r="1">
      <x v="22"/>
    </i>
    <i r="1">
      <x v="26"/>
    </i>
    <i r="1">
      <x v="29"/>
    </i>
    <i>
      <x v="12"/>
    </i>
    <i r="1">
      <x v="7"/>
    </i>
    <i r="1">
      <x v="8"/>
    </i>
    <i r="1">
      <x v="9"/>
    </i>
    <i r="1">
      <x v="13"/>
    </i>
    <i r="1">
      <x v="14"/>
    </i>
    <i r="1">
      <x v="19"/>
    </i>
    <i r="1">
      <x v="20"/>
    </i>
    <i r="1">
      <x v="23"/>
    </i>
    <i r="1">
      <x v="25"/>
    </i>
    <i r="1">
      <x v="26"/>
    </i>
    <i r="1">
      <x v="27"/>
    </i>
    <i>
      <x v="13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17"/>
    </i>
    <i r="1">
      <x v="18"/>
    </i>
    <i r="1">
      <x v="19"/>
    </i>
    <i r="1">
      <x v="24"/>
    </i>
    <i>
      <x v="14"/>
    </i>
    <i r="1">
      <x/>
    </i>
    <i r="1">
      <x v="6"/>
    </i>
    <i r="1">
      <x v="9"/>
    </i>
    <i r="1">
      <x v="12"/>
    </i>
    <i r="1">
      <x v="13"/>
    </i>
    <i r="1">
      <x v="18"/>
    </i>
    <i r="1">
      <x v="23"/>
    </i>
    <i r="1">
      <x v="25"/>
    </i>
    <i r="1">
      <x v="26"/>
    </i>
    <i r="1">
      <x v="28"/>
    </i>
    <i>
      <x v="15"/>
    </i>
    <i r="1">
      <x v="1"/>
    </i>
    <i r="1">
      <x v="2"/>
    </i>
    <i r="1">
      <x v="3"/>
    </i>
    <i r="1">
      <x v="4"/>
    </i>
    <i r="1">
      <x v="10"/>
    </i>
    <i r="1">
      <x v="14"/>
    </i>
    <i r="1">
      <x v="17"/>
    </i>
    <i r="1">
      <x v="19"/>
    </i>
    <i r="1">
      <x v="22"/>
    </i>
    <i r="1">
      <x v="23"/>
    </i>
    <i r="1">
      <x v="24"/>
    </i>
    <i r="1">
      <x v="26"/>
    </i>
    <i r="1">
      <x v="27"/>
    </i>
    <i r="1">
      <x v="28"/>
    </i>
    <i r="1">
      <x v="29"/>
    </i>
    <i>
      <x v="16"/>
    </i>
    <i r="1">
      <x/>
    </i>
    <i r="1">
      <x v="1"/>
    </i>
    <i r="1">
      <x v="2"/>
    </i>
    <i r="1">
      <x v="10"/>
    </i>
    <i r="1">
      <x v="11"/>
    </i>
    <i r="1">
      <x v="16"/>
    </i>
    <i r="1">
      <x v="17"/>
    </i>
    <i r="1">
      <x v="18"/>
    </i>
    <i r="1">
      <x v="27"/>
    </i>
    <i r="1">
      <x v="29"/>
    </i>
    <i>
      <x v="17"/>
    </i>
    <i r="1">
      <x v="5"/>
    </i>
    <i r="1">
      <x v="10"/>
    </i>
    <i r="1">
      <x v="11"/>
    </i>
    <i r="1">
      <x v="13"/>
    </i>
    <i r="1">
      <x v="14"/>
    </i>
    <i r="1">
      <x v="15"/>
    </i>
    <i r="1">
      <x v="17"/>
    </i>
    <i r="1">
      <x v="19"/>
    </i>
    <i r="1">
      <x v="24"/>
    </i>
    <i>
      <x v="18"/>
    </i>
    <i r="1">
      <x v="1"/>
    </i>
    <i r="1">
      <x v="5"/>
    </i>
    <i r="1">
      <x v="8"/>
    </i>
    <i r="1">
      <x v="9"/>
    </i>
    <i r="1">
      <x v="14"/>
    </i>
    <i r="1">
      <x v="15"/>
    </i>
    <i r="1">
      <x v="18"/>
    </i>
    <i r="1">
      <x v="19"/>
    </i>
    <i r="1">
      <x v="21"/>
    </i>
    <i r="1">
      <x v="23"/>
    </i>
    <i r="1">
      <x v="24"/>
    </i>
    <i r="1">
      <x v="25"/>
    </i>
    <i>
      <x v="19"/>
    </i>
    <i r="1">
      <x v="1"/>
    </i>
    <i r="1">
      <x v="2"/>
    </i>
    <i r="1">
      <x v="3"/>
    </i>
    <i r="1">
      <x v="9"/>
    </i>
    <i r="1">
      <x v="20"/>
    </i>
    <i r="1">
      <x v="22"/>
    </i>
    <i r="1">
      <x v="23"/>
    </i>
    <i r="1">
      <x v="28"/>
    </i>
    <i>
      <x v="20"/>
    </i>
    <i r="1">
      <x/>
    </i>
    <i r="1">
      <x v="4"/>
    </i>
    <i r="1">
      <x v="8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4"/>
    </i>
    <i r="1">
      <x v="25"/>
    </i>
    <i r="1">
      <x v="26"/>
    </i>
    <i>
      <x v="21"/>
    </i>
    <i r="1">
      <x/>
    </i>
    <i r="1">
      <x v="4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6"/>
    </i>
    <i r="1">
      <x v="22"/>
    </i>
    <i r="1">
      <x v="28"/>
    </i>
    <i>
      <x v="22"/>
    </i>
    <i r="1">
      <x v="7"/>
    </i>
    <i r="1">
      <x v="8"/>
    </i>
    <i r="1">
      <x v="11"/>
    </i>
    <i r="1">
      <x v="16"/>
    </i>
    <i r="1">
      <x v="17"/>
    </i>
    <i r="1">
      <x v="21"/>
    </i>
    <i r="1">
      <x v="22"/>
    </i>
    <i r="1">
      <x v="25"/>
    </i>
    <i>
      <x v="23"/>
    </i>
    <i r="1">
      <x v="2"/>
    </i>
    <i r="1">
      <x v="3"/>
    </i>
    <i r="1">
      <x v="6"/>
    </i>
    <i r="1">
      <x v="10"/>
    </i>
    <i r="1">
      <x v="11"/>
    </i>
    <i r="1">
      <x v="13"/>
    </i>
    <i r="1">
      <x v="19"/>
    </i>
    <i r="1">
      <x v="20"/>
    </i>
    <i r="1">
      <x v="21"/>
    </i>
    <i r="1">
      <x v="23"/>
    </i>
    <i r="1">
      <x v="25"/>
    </i>
    <i>
      <x v="24"/>
    </i>
    <i r="1">
      <x v="1"/>
    </i>
    <i r="1">
      <x v="4"/>
    </i>
    <i r="1">
      <x v="5"/>
    </i>
    <i r="1">
      <x v="10"/>
    </i>
    <i r="1">
      <x v="12"/>
    </i>
    <i r="1">
      <x v="14"/>
    </i>
    <i r="1">
      <x v="15"/>
    </i>
    <i r="1">
      <x v="18"/>
    </i>
    <i r="1">
      <x v="23"/>
    </i>
    <i r="1">
      <x v="27"/>
    </i>
    <i r="1">
      <x v="28"/>
    </i>
    <i>
      <x v="25"/>
    </i>
    <i r="1">
      <x v="1"/>
    </i>
    <i r="1">
      <x v="2"/>
    </i>
    <i r="1">
      <x v="5"/>
    </i>
    <i r="1">
      <x v="9"/>
    </i>
    <i r="1">
      <x v="11"/>
    </i>
    <i r="1">
      <x v="13"/>
    </i>
    <i r="1">
      <x v="21"/>
    </i>
    <i r="1">
      <x v="22"/>
    </i>
    <i r="1">
      <x v="27"/>
    </i>
    <i r="1">
      <x v="28"/>
    </i>
    <i r="1">
      <x v="29"/>
    </i>
    <i>
      <x v="26"/>
    </i>
    <i r="1">
      <x/>
    </i>
    <i r="1">
      <x v="3"/>
    </i>
    <i r="1">
      <x v="9"/>
    </i>
    <i r="1">
      <x v="11"/>
    </i>
    <i r="1">
      <x v="13"/>
    </i>
    <i r="1">
      <x v="14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>
      <x v="27"/>
    </i>
    <i r="1">
      <x v="7"/>
    </i>
    <i r="1">
      <x v="8"/>
    </i>
    <i r="1">
      <x v="9"/>
    </i>
    <i r="1">
      <x v="10"/>
    </i>
    <i r="1">
      <x v="13"/>
    </i>
    <i r="1">
      <x v="14"/>
    </i>
    <i r="1">
      <x v="15"/>
    </i>
    <i r="1">
      <x v="20"/>
    </i>
    <i r="1">
      <x v="21"/>
    </i>
    <i r="1">
      <x v="29"/>
    </i>
    <i>
      <x v="28"/>
    </i>
    <i r="1">
      <x v="3"/>
    </i>
    <i r="1">
      <x v="4"/>
    </i>
    <i r="1">
      <x v="7"/>
    </i>
    <i r="1">
      <x v="8"/>
    </i>
    <i r="1">
      <x v="11"/>
    </i>
    <i r="1">
      <x v="13"/>
    </i>
    <i r="1">
      <x v="14"/>
    </i>
    <i r="1">
      <x v="16"/>
    </i>
    <i r="1">
      <x v="18"/>
    </i>
    <i r="1">
      <x v="19"/>
    </i>
    <i r="1">
      <x v="24"/>
    </i>
    <i r="1">
      <x v="26"/>
    </i>
    <i r="1">
      <x v="27"/>
    </i>
    <i>
      <x v="29"/>
    </i>
    <i r="1">
      <x v="2"/>
    </i>
    <i r="1">
      <x v="7"/>
    </i>
    <i r="1">
      <x v="8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25"/>
    </i>
    <i r="1">
      <x v="27"/>
    </i>
    <i r="1">
      <x v="28"/>
    </i>
    <i r="1">
      <x v="29"/>
    </i>
    <i>
      <x v="30"/>
    </i>
    <i r="1">
      <x v="4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20"/>
    </i>
    <i r="1">
      <x v="21"/>
    </i>
    <i r="1">
      <x v="27"/>
    </i>
    <i r="1">
      <x v="28"/>
    </i>
    <i>
      <x v="31"/>
    </i>
    <i r="1">
      <x v="2"/>
    </i>
    <i r="1">
      <x v="3"/>
    </i>
    <i r="1">
      <x v="5"/>
    </i>
    <i r="1">
      <x v="8"/>
    </i>
    <i r="1">
      <x v="12"/>
    </i>
    <i r="1">
      <x v="14"/>
    </i>
    <i r="1">
      <x v="17"/>
    </i>
    <i r="1">
      <x v="20"/>
    </i>
    <i r="1">
      <x v="23"/>
    </i>
    <i r="1">
      <x v="24"/>
    </i>
    <i r="1">
      <x v="26"/>
    </i>
    <i r="1">
      <x v="27"/>
    </i>
    <i>
      <x v="32"/>
    </i>
    <i r="1">
      <x v="2"/>
    </i>
    <i r="1">
      <x v="3"/>
    </i>
    <i r="1">
      <x v="11"/>
    </i>
    <i r="1">
      <x v="14"/>
    </i>
    <i r="1">
      <x v="19"/>
    </i>
    <i r="1">
      <x v="20"/>
    </i>
    <i r="1">
      <x v="21"/>
    </i>
    <i r="1">
      <x v="22"/>
    </i>
    <i r="1">
      <x v="23"/>
    </i>
    <i r="1">
      <x v="24"/>
    </i>
    <i>
      <x v="33"/>
    </i>
    <i r="1">
      <x v="1"/>
    </i>
    <i r="1">
      <x v="4"/>
    </i>
    <i r="1">
      <x v="8"/>
    </i>
    <i r="1">
      <x v="9"/>
    </i>
    <i r="1">
      <x v="11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>
      <x v="34"/>
    </i>
    <i r="1">
      <x/>
    </i>
    <i r="1">
      <x v="1"/>
    </i>
    <i r="1">
      <x v="10"/>
    </i>
    <i r="1">
      <x v="11"/>
    </i>
    <i r="1">
      <x v="12"/>
    </i>
    <i r="1">
      <x v="20"/>
    </i>
    <i r="1">
      <x v="21"/>
    </i>
    <i r="1">
      <x v="23"/>
    </i>
    <i r="1">
      <x v="25"/>
    </i>
    <i r="1">
      <x v="27"/>
    </i>
    <i r="1">
      <x v="29"/>
    </i>
    <i>
      <x v="35"/>
    </i>
    <i r="1">
      <x/>
    </i>
    <i r="1">
      <x v="1"/>
    </i>
    <i r="1">
      <x v="2"/>
    </i>
    <i r="1">
      <x v="3"/>
    </i>
    <i r="1">
      <x v="15"/>
    </i>
    <i r="1">
      <x v="16"/>
    </i>
    <i r="1">
      <x v="18"/>
    </i>
    <i r="1">
      <x v="19"/>
    </i>
    <i r="1">
      <x v="23"/>
    </i>
    <i r="1">
      <x v="25"/>
    </i>
    <i r="1">
      <x v="27"/>
    </i>
    <i r="1">
      <x v="28"/>
    </i>
    <i>
      <x v="36"/>
    </i>
    <i r="1">
      <x/>
    </i>
    <i r="1">
      <x v="1"/>
    </i>
    <i r="1">
      <x v="2"/>
    </i>
    <i r="1">
      <x v="3"/>
    </i>
    <i r="1">
      <x v="4"/>
    </i>
    <i r="1">
      <x v="5"/>
    </i>
    <i r="1">
      <x v="11"/>
    </i>
    <i r="1">
      <x v="15"/>
    </i>
    <i r="1">
      <x v="16"/>
    </i>
    <i r="1">
      <x v="19"/>
    </i>
    <i r="1">
      <x v="20"/>
    </i>
    <i r="1">
      <x v="22"/>
    </i>
    <i r="1">
      <x v="26"/>
    </i>
    <i r="1">
      <x v="27"/>
    </i>
    <i r="1">
      <x v="28"/>
    </i>
    <i r="1">
      <x v="29"/>
    </i>
    <i>
      <x v="37"/>
    </i>
    <i r="1">
      <x v="4"/>
    </i>
    <i r="1">
      <x v="5"/>
    </i>
    <i r="1">
      <x v="8"/>
    </i>
    <i r="1">
      <x v="9"/>
    </i>
    <i r="1">
      <x v="14"/>
    </i>
    <i r="1">
      <x v="21"/>
    </i>
    <i r="1">
      <x v="22"/>
    </i>
    <i r="1">
      <x v="27"/>
    </i>
    <i>
      <x v="38"/>
    </i>
    <i r="1">
      <x v="1"/>
    </i>
    <i r="1">
      <x v="4"/>
    </i>
    <i r="1">
      <x v="8"/>
    </i>
    <i r="1">
      <x v="9"/>
    </i>
    <i r="1">
      <x v="15"/>
    </i>
    <i r="1">
      <x v="16"/>
    </i>
    <i r="1">
      <x v="17"/>
    </i>
    <i r="1">
      <x v="21"/>
    </i>
    <i r="1">
      <x v="22"/>
    </i>
    <i r="1">
      <x v="28"/>
    </i>
    <i>
      <x v="39"/>
    </i>
    <i r="1">
      <x/>
    </i>
    <i r="1">
      <x v="2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8"/>
    </i>
    <i r="1">
      <x v="22"/>
    </i>
    <i r="1">
      <x v="28"/>
    </i>
    <i r="1"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_inr" fld="4" baseField="0" baseItem="0"/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B957E7-5367-4020-9AF8-678C9B9218B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46" firstHeaderRow="1" firstDataRow="3" firstDataCol="1"/>
  <pivotFields count="15">
    <pivotField dataField="1" showAll="0"/>
    <pivotField showAll="0"/>
    <pivotField axis="axisRow" showAll="0">
      <items count="41"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  <item t="default"/>
      </items>
    </pivotField>
    <pivotField numFmtId="22" showAll="0"/>
    <pivotField dataField="1"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numFmtId="10" showAll="0"/>
    <pivotField numFmtId="14" showAll="0"/>
    <pivotField showAll="0"/>
    <pivotField showAll="0"/>
  </pivotFields>
  <rowFields count="1">
    <field x="2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2">
    <field x="6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_inr" fld="4" baseField="0" baseItem="0"/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734CC-A660-425E-B12B-2C2AAA77BFDC}">
  <dimension ref="A1:D41"/>
  <sheetViews>
    <sheetView workbookViewId="0">
      <selection activeCell="G9" sqref="G9"/>
    </sheetView>
  </sheetViews>
  <sheetFormatPr defaultRowHeight="14.4" x14ac:dyDescent="0.3"/>
  <cols>
    <col min="1" max="1" width="11" bestFit="1" customWidth="1"/>
    <col min="2" max="2" width="14.21875" bestFit="1" customWidth="1"/>
    <col min="3" max="3" width="12.33203125" bestFit="1" customWidth="1"/>
    <col min="4" max="4" width="6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8</v>
      </c>
      <c r="D4" t="s">
        <v>11</v>
      </c>
    </row>
    <row r="5" spans="1:4" x14ac:dyDescent="0.3">
      <c r="A5">
        <v>4</v>
      </c>
      <c r="B5" t="s">
        <v>12</v>
      </c>
      <c r="C5" t="s">
        <v>5</v>
      </c>
      <c r="D5" t="s">
        <v>11</v>
      </c>
    </row>
    <row r="6" spans="1:4" x14ac:dyDescent="0.3">
      <c r="A6">
        <v>5</v>
      </c>
      <c r="B6" t="s">
        <v>13</v>
      </c>
      <c r="C6" t="s">
        <v>14</v>
      </c>
      <c r="D6" t="s">
        <v>6</v>
      </c>
    </row>
    <row r="7" spans="1:4" x14ac:dyDescent="0.3">
      <c r="A7">
        <v>6</v>
      </c>
      <c r="B7" t="s">
        <v>15</v>
      </c>
      <c r="C7" t="s">
        <v>16</v>
      </c>
      <c r="D7" t="s">
        <v>6</v>
      </c>
    </row>
    <row r="8" spans="1:4" x14ac:dyDescent="0.3">
      <c r="A8">
        <v>7</v>
      </c>
      <c r="B8" t="s">
        <v>17</v>
      </c>
      <c r="C8" t="s">
        <v>16</v>
      </c>
      <c r="D8" t="s">
        <v>11</v>
      </c>
    </row>
    <row r="9" spans="1:4" x14ac:dyDescent="0.3">
      <c r="A9">
        <v>8</v>
      </c>
      <c r="B9" t="s">
        <v>18</v>
      </c>
      <c r="C9" t="s">
        <v>16</v>
      </c>
      <c r="D9" t="s">
        <v>19</v>
      </c>
    </row>
    <row r="10" spans="1:4" x14ac:dyDescent="0.3">
      <c r="A10">
        <v>9</v>
      </c>
      <c r="B10" t="s">
        <v>20</v>
      </c>
      <c r="C10" t="s">
        <v>5</v>
      </c>
      <c r="D10" t="s">
        <v>19</v>
      </c>
    </row>
    <row r="11" spans="1:4" x14ac:dyDescent="0.3">
      <c r="A11">
        <v>10</v>
      </c>
      <c r="B11" t="s">
        <v>21</v>
      </c>
      <c r="C11" t="s">
        <v>8</v>
      </c>
      <c r="D11" t="s">
        <v>9</v>
      </c>
    </row>
    <row r="12" spans="1:4" x14ac:dyDescent="0.3">
      <c r="A12">
        <v>11</v>
      </c>
      <c r="B12" t="s">
        <v>22</v>
      </c>
      <c r="C12" t="s">
        <v>5</v>
      </c>
      <c r="D12" t="s">
        <v>19</v>
      </c>
    </row>
    <row r="13" spans="1:4" x14ac:dyDescent="0.3">
      <c r="A13">
        <v>12</v>
      </c>
      <c r="B13" t="s">
        <v>23</v>
      </c>
      <c r="C13" t="s">
        <v>5</v>
      </c>
      <c r="D13" t="s">
        <v>11</v>
      </c>
    </row>
    <row r="14" spans="1:4" x14ac:dyDescent="0.3">
      <c r="A14">
        <v>13</v>
      </c>
      <c r="B14" t="s">
        <v>24</v>
      </c>
      <c r="C14" t="s">
        <v>25</v>
      </c>
      <c r="D14" t="s">
        <v>11</v>
      </c>
    </row>
    <row r="15" spans="1:4" x14ac:dyDescent="0.3">
      <c r="A15">
        <v>14</v>
      </c>
      <c r="B15" t="s">
        <v>26</v>
      </c>
      <c r="C15" t="s">
        <v>8</v>
      </c>
      <c r="D15" t="s">
        <v>11</v>
      </c>
    </row>
    <row r="16" spans="1:4" x14ac:dyDescent="0.3">
      <c r="A16">
        <v>15</v>
      </c>
      <c r="B16" t="s">
        <v>27</v>
      </c>
      <c r="C16" t="s">
        <v>25</v>
      </c>
      <c r="D16" t="s">
        <v>19</v>
      </c>
    </row>
    <row r="17" spans="1:4" x14ac:dyDescent="0.3">
      <c r="A17">
        <v>16</v>
      </c>
      <c r="B17" t="s">
        <v>28</v>
      </c>
      <c r="C17" t="s">
        <v>29</v>
      </c>
      <c r="D17" t="s">
        <v>9</v>
      </c>
    </row>
    <row r="18" spans="1:4" x14ac:dyDescent="0.3">
      <c r="A18">
        <v>17</v>
      </c>
      <c r="B18" t="s">
        <v>30</v>
      </c>
      <c r="C18" t="s">
        <v>8</v>
      </c>
      <c r="D18" t="s">
        <v>19</v>
      </c>
    </row>
    <row r="19" spans="1:4" x14ac:dyDescent="0.3">
      <c r="A19">
        <v>18</v>
      </c>
      <c r="B19" t="s">
        <v>31</v>
      </c>
      <c r="C19" t="s">
        <v>8</v>
      </c>
      <c r="D19" t="s">
        <v>9</v>
      </c>
    </row>
    <row r="20" spans="1:4" x14ac:dyDescent="0.3">
      <c r="A20">
        <v>19</v>
      </c>
      <c r="B20" t="s">
        <v>32</v>
      </c>
      <c r="C20" t="s">
        <v>8</v>
      </c>
      <c r="D20" t="s">
        <v>19</v>
      </c>
    </row>
    <row r="21" spans="1:4" x14ac:dyDescent="0.3">
      <c r="A21">
        <v>20</v>
      </c>
      <c r="B21" t="s">
        <v>33</v>
      </c>
      <c r="C21" t="s">
        <v>16</v>
      </c>
      <c r="D21" t="s">
        <v>11</v>
      </c>
    </row>
    <row r="22" spans="1:4" x14ac:dyDescent="0.3">
      <c r="A22">
        <v>21</v>
      </c>
      <c r="B22" t="s">
        <v>34</v>
      </c>
      <c r="C22" t="s">
        <v>16</v>
      </c>
      <c r="D22" t="s">
        <v>11</v>
      </c>
    </row>
    <row r="23" spans="1:4" x14ac:dyDescent="0.3">
      <c r="A23">
        <v>22</v>
      </c>
      <c r="B23" t="s">
        <v>35</v>
      </c>
      <c r="C23" t="s">
        <v>25</v>
      </c>
      <c r="D23" t="s">
        <v>6</v>
      </c>
    </row>
    <row r="24" spans="1:4" x14ac:dyDescent="0.3">
      <c r="A24">
        <v>23</v>
      </c>
      <c r="B24" t="s">
        <v>36</v>
      </c>
      <c r="C24" t="s">
        <v>25</v>
      </c>
      <c r="D24" t="s">
        <v>19</v>
      </c>
    </row>
    <row r="25" spans="1:4" x14ac:dyDescent="0.3">
      <c r="A25">
        <v>24</v>
      </c>
      <c r="B25" t="s">
        <v>37</v>
      </c>
      <c r="C25" t="s">
        <v>8</v>
      </c>
      <c r="D25" t="s">
        <v>19</v>
      </c>
    </row>
    <row r="26" spans="1:4" x14ac:dyDescent="0.3">
      <c r="A26">
        <v>25</v>
      </c>
      <c r="B26" t="s">
        <v>38</v>
      </c>
      <c r="C26" t="s">
        <v>25</v>
      </c>
      <c r="D26" t="s">
        <v>6</v>
      </c>
    </row>
    <row r="27" spans="1:4" x14ac:dyDescent="0.3">
      <c r="A27">
        <v>26</v>
      </c>
      <c r="B27" t="s">
        <v>39</v>
      </c>
      <c r="C27" t="s">
        <v>16</v>
      </c>
      <c r="D27" t="s">
        <v>11</v>
      </c>
    </row>
    <row r="28" spans="1:4" x14ac:dyDescent="0.3">
      <c r="A28">
        <v>27</v>
      </c>
      <c r="B28" t="s">
        <v>40</v>
      </c>
      <c r="C28" t="s">
        <v>5</v>
      </c>
      <c r="D28" t="s">
        <v>19</v>
      </c>
    </row>
    <row r="29" spans="1:4" x14ac:dyDescent="0.3">
      <c r="A29">
        <v>28</v>
      </c>
      <c r="B29" t="s">
        <v>41</v>
      </c>
      <c r="C29" t="s">
        <v>5</v>
      </c>
      <c r="D29" t="s">
        <v>6</v>
      </c>
    </row>
    <row r="30" spans="1:4" x14ac:dyDescent="0.3">
      <c r="A30">
        <v>29</v>
      </c>
      <c r="B30" t="s">
        <v>42</v>
      </c>
      <c r="C30" t="s">
        <v>5</v>
      </c>
      <c r="D30" t="s">
        <v>19</v>
      </c>
    </row>
    <row r="31" spans="1:4" x14ac:dyDescent="0.3">
      <c r="A31">
        <v>30</v>
      </c>
      <c r="B31" t="s">
        <v>43</v>
      </c>
      <c r="C31" t="s">
        <v>25</v>
      </c>
      <c r="D31" t="s">
        <v>9</v>
      </c>
    </row>
    <row r="32" spans="1:4" x14ac:dyDescent="0.3">
      <c r="A32">
        <v>31</v>
      </c>
      <c r="B32" t="s">
        <v>44</v>
      </c>
      <c r="C32" t="s">
        <v>29</v>
      </c>
      <c r="D32" t="s">
        <v>11</v>
      </c>
    </row>
    <row r="33" spans="1:4" x14ac:dyDescent="0.3">
      <c r="A33">
        <v>32</v>
      </c>
      <c r="B33" t="s">
        <v>45</v>
      </c>
      <c r="C33" t="s">
        <v>16</v>
      </c>
      <c r="D33" t="s">
        <v>9</v>
      </c>
    </row>
    <row r="34" spans="1:4" x14ac:dyDescent="0.3">
      <c r="A34">
        <v>33</v>
      </c>
      <c r="B34" t="s">
        <v>46</v>
      </c>
      <c r="C34" t="s">
        <v>29</v>
      </c>
      <c r="D34" t="s">
        <v>11</v>
      </c>
    </row>
    <row r="35" spans="1:4" x14ac:dyDescent="0.3">
      <c r="A35">
        <v>34</v>
      </c>
      <c r="B35" t="s">
        <v>47</v>
      </c>
      <c r="C35" t="s">
        <v>25</v>
      </c>
      <c r="D35" t="s">
        <v>6</v>
      </c>
    </row>
    <row r="36" spans="1:4" x14ac:dyDescent="0.3">
      <c r="A36">
        <v>35</v>
      </c>
      <c r="B36" t="s">
        <v>48</v>
      </c>
      <c r="C36" t="s">
        <v>14</v>
      </c>
      <c r="D36" t="s">
        <v>11</v>
      </c>
    </row>
    <row r="37" spans="1:4" x14ac:dyDescent="0.3">
      <c r="A37">
        <v>36</v>
      </c>
      <c r="B37" t="s">
        <v>49</v>
      </c>
      <c r="C37" t="s">
        <v>50</v>
      </c>
      <c r="D37" t="s">
        <v>11</v>
      </c>
    </row>
    <row r="38" spans="1:4" x14ac:dyDescent="0.3">
      <c r="A38">
        <v>37</v>
      </c>
      <c r="B38" t="s">
        <v>51</v>
      </c>
      <c r="C38" t="s">
        <v>50</v>
      </c>
      <c r="D38" t="s">
        <v>6</v>
      </c>
    </row>
    <row r="39" spans="1:4" x14ac:dyDescent="0.3">
      <c r="A39">
        <v>38</v>
      </c>
      <c r="B39" t="s">
        <v>52</v>
      </c>
      <c r="C39" t="s">
        <v>8</v>
      </c>
      <c r="D39" t="s">
        <v>11</v>
      </c>
    </row>
    <row r="40" spans="1:4" x14ac:dyDescent="0.3">
      <c r="A40">
        <v>39</v>
      </c>
      <c r="B40" t="s">
        <v>53</v>
      </c>
      <c r="C40" t="s">
        <v>50</v>
      </c>
      <c r="D40" t="s">
        <v>19</v>
      </c>
    </row>
    <row r="41" spans="1:4" x14ac:dyDescent="0.3">
      <c r="A41">
        <v>40</v>
      </c>
      <c r="B41" t="s">
        <v>54</v>
      </c>
      <c r="C41" t="s">
        <v>50</v>
      </c>
      <c r="D4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74BE5-BAE6-4C5F-BE12-93F82C299D19}">
  <dimension ref="A1:O548"/>
  <sheetViews>
    <sheetView workbookViewId="0">
      <selection activeCell="M13" sqref="A1:O548"/>
    </sheetView>
  </sheetViews>
  <sheetFormatPr defaultRowHeight="14.4" x14ac:dyDescent="0.3"/>
  <cols>
    <col min="1" max="1" width="12.33203125" bestFit="1" customWidth="1"/>
    <col min="2" max="2" width="6.77734375" bestFit="1" customWidth="1"/>
    <col min="3" max="3" width="11" bestFit="1" customWidth="1"/>
    <col min="4" max="4" width="15.33203125" bestFit="1" customWidth="1"/>
    <col min="5" max="5" width="10" bestFit="1" customWidth="1"/>
    <col min="6" max="6" width="14.88671875" bestFit="1" customWidth="1"/>
    <col min="7" max="7" width="10.44140625" bestFit="1" customWidth="1"/>
    <col min="8" max="8" width="9.21875" bestFit="1" customWidth="1"/>
    <col min="9" max="9" width="14.21875" bestFit="1" customWidth="1"/>
    <col min="10" max="10" width="12.33203125" bestFit="1" customWidth="1"/>
    <col min="12" max="12" width="10" style="2" bestFit="1" customWidth="1"/>
    <col min="13" max="13" width="14.33203125" style="6" bestFit="1" customWidth="1"/>
    <col min="14" max="14" width="17.77734375" bestFit="1" customWidth="1"/>
    <col min="15" max="15" width="24.109375" bestFit="1" customWidth="1"/>
  </cols>
  <sheetData>
    <row r="1" spans="1:15" x14ac:dyDescent="0.3">
      <c r="A1" t="s">
        <v>55</v>
      </c>
      <c r="B1" t="s">
        <v>56</v>
      </c>
      <c r="C1" t="s">
        <v>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1</v>
      </c>
      <c r="J1" t="s">
        <v>2</v>
      </c>
      <c r="K1" t="s">
        <v>3</v>
      </c>
      <c r="L1" s="2" t="s">
        <v>622</v>
      </c>
      <c r="M1" s="6" t="s">
        <v>623</v>
      </c>
      <c r="N1" t="s">
        <v>628</v>
      </c>
      <c r="O1" t="s">
        <v>629</v>
      </c>
    </row>
    <row r="2" spans="1:15" x14ac:dyDescent="0.3">
      <c r="A2" t="s">
        <v>62</v>
      </c>
      <c r="B2">
        <v>350</v>
      </c>
      <c r="C2">
        <v>16</v>
      </c>
      <c r="D2" s="1">
        <v>46051.467361111114</v>
      </c>
      <c r="E2">
        <v>2999</v>
      </c>
      <c r="F2" t="s">
        <v>63</v>
      </c>
      <c r="G2" t="s">
        <v>64</v>
      </c>
      <c r="H2">
        <v>85</v>
      </c>
      <c r="I2" t="str">
        <f>IFERROR(VLOOKUP(C2,Merchants!$A$2:$D$41,2,FALSE),"Merchant not found")</f>
        <v>Merchant_016</v>
      </c>
      <c r="J2" t="str">
        <f>IFERROR(VLOOKUP(C2,Merchants!$A$2:$D$41,3,FALSE),"Merchant not found")</f>
        <v>bill_payment</v>
      </c>
      <c r="K2" t="str">
        <f>IFERROR(VLOOKUP(C2,Merchants!$A$2:$D$41,4,FALSE),"Merchant not found")</f>
        <v>West</v>
      </c>
      <c r="L2" s="2">
        <f>HLOOKUP(F2,Fee_lookup!$A$2:$E$3,2,FALSE)</f>
        <v>5.0000000000000001E-4</v>
      </c>
      <c r="M2" s="6">
        <f>INT(D2)</f>
        <v>46051</v>
      </c>
      <c r="N2">
        <f>SUMIFS($E:$E,$C:$C,C2,$M:$M,M2)</f>
        <v>2999</v>
      </c>
      <c r="O2" t="str">
        <f>IF(AND(N2&gt;5000,K2&lt;&gt;"East"),"High-Value Merchant Day","Normal Merchant Day")</f>
        <v>Normal Merchant Day</v>
      </c>
    </row>
    <row r="3" spans="1:15" x14ac:dyDescent="0.3">
      <c r="A3" t="s">
        <v>65</v>
      </c>
      <c r="B3">
        <v>287</v>
      </c>
      <c r="C3">
        <v>27</v>
      </c>
      <c r="D3" s="1">
        <v>46026.492361111108</v>
      </c>
      <c r="E3">
        <v>49</v>
      </c>
      <c r="F3" t="s">
        <v>66</v>
      </c>
      <c r="G3" t="s">
        <v>64</v>
      </c>
      <c r="H3">
        <v>79</v>
      </c>
      <c r="I3" t="str">
        <f>IFERROR(VLOOKUP(C3,Merchants!$A$2:$D$41,2,FALSE),"Merchant not found")</f>
        <v>Merchant_027</v>
      </c>
      <c r="J3" t="str">
        <f>IFERROR(VLOOKUP(C3,Merchants!$A$2:$D$41,3,FALSE),"Merchant not found")</f>
        <v>ecommerce</v>
      </c>
      <c r="K3" t="str">
        <f>IFERROR(VLOOKUP(C3,Merchants!$A$2:$D$41,4,FALSE),"Merchant not found")</f>
        <v>North</v>
      </c>
      <c r="L3" s="2">
        <f>HLOOKUP(F3,Fee_lookup!$A$2:$E$3,2,FALSE)</f>
        <v>2.0000000000000001E-4</v>
      </c>
      <c r="M3" s="6">
        <f t="shared" ref="M3:M66" si="0">INT(D3)</f>
        <v>46026</v>
      </c>
      <c r="N3">
        <f t="shared" ref="N3:N66" si="1">SUMIFS($E:$E,$C:$C,C3,$M:$M,M3)</f>
        <v>49</v>
      </c>
      <c r="O3" t="str">
        <f t="shared" ref="O3:O66" si="2">IF(AND(N3&gt;5000,K3&lt;&gt;"East"),"High-Value Merchant Day","Normal Merchant Day")</f>
        <v>Normal Merchant Day</v>
      </c>
    </row>
    <row r="4" spans="1:15" x14ac:dyDescent="0.3">
      <c r="A4" t="s">
        <v>67</v>
      </c>
      <c r="B4">
        <v>122</v>
      </c>
      <c r="C4">
        <v>11</v>
      </c>
      <c r="D4" s="1">
        <v>46046.207638888889</v>
      </c>
      <c r="E4">
        <v>1499</v>
      </c>
      <c r="F4" t="s">
        <v>63</v>
      </c>
      <c r="G4" t="s">
        <v>64</v>
      </c>
      <c r="H4">
        <v>22</v>
      </c>
      <c r="I4" t="str">
        <f>IFERROR(VLOOKUP(C4,Merchants!$A$2:$D$41,2,FALSE),"Merchant not found")</f>
        <v>Merchant_011</v>
      </c>
      <c r="J4" t="str">
        <f>IFERROR(VLOOKUP(C4,Merchants!$A$2:$D$41,3,FALSE),"Merchant not found")</f>
        <v>ecommerce</v>
      </c>
      <c r="K4" t="str">
        <f>IFERROR(VLOOKUP(C4,Merchants!$A$2:$D$41,4,FALSE),"Merchant not found")</f>
        <v>North</v>
      </c>
      <c r="L4" s="2">
        <f>HLOOKUP(F4,Fee_lookup!$A$2:$E$3,2,FALSE)</f>
        <v>5.0000000000000001E-4</v>
      </c>
      <c r="M4" s="6">
        <f t="shared" si="0"/>
        <v>46046</v>
      </c>
      <c r="N4">
        <f t="shared" si="1"/>
        <v>1798</v>
      </c>
      <c r="O4" t="str">
        <f t="shared" si="2"/>
        <v>Normal Merchant Day</v>
      </c>
    </row>
    <row r="5" spans="1:15" x14ac:dyDescent="0.3">
      <c r="A5" t="s">
        <v>68</v>
      </c>
      <c r="B5">
        <v>92</v>
      </c>
      <c r="C5">
        <v>22</v>
      </c>
      <c r="D5" s="1">
        <v>46051.542361111111</v>
      </c>
      <c r="E5">
        <v>49</v>
      </c>
      <c r="F5" t="s">
        <v>69</v>
      </c>
      <c r="G5" t="s">
        <v>64</v>
      </c>
      <c r="H5">
        <v>100</v>
      </c>
      <c r="I5" t="str">
        <f>IFERROR(VLOOKUP(C5,Merchants!$A$2:$D$41,2,FALSE),"Merchant not found")</f>
        <v>Merchant_022</v>
      </c>
      <c r="J5" t="str">
        <f>IFERROR(VLOOKUP(C5,Merchants!$A$2:$D$41,3,FALSE),"Merchant not found")</f>
        <v>travel</v>
      </c>
      <c r="K5" t="str">
        <f>IFERROR(VLOOKUP(C5,Merchants!$A$2:$D$41,4,FALSE),"Merchant not found")</f>
        <v>South</v>
      </c>
      <c r="L5" s="2">
        <f>HLOOKUP(F5,Fee_lookup!$A$2:$E$3,2,FALSE)</f>
        <v>0.01</v>
      </c>
      <c r="M5" s="6">
        <f t="shared" si="0"/>
        <v>46051</v>
      </c>
      <c r="N5">
        <f t="shared" si="1"/>
        <v>49</v>
      </c>
      <c r="O5" t="str">
        <f t="shared" si="2"/>
        <v>Normal Merchant Day</v>
      </c>
    </row>
    <row r="6" spans="1:15" x14ac:dyDescent="0.3">
      <c r="A6" t="s">
        <v>70</v>
      </c>
      <c r="B6">
        <v>343</v>
      </c>
      <c r="C6">
        <v>16</v>
      </c>
      <c r="D6" s="1">
        <v>46052.57708333333</v>
      </c>
      <c r="E6">
        <v>99</v>
      </c>
      <c r="F6" t="s">
        <v>66</v>
      </c>
      <c r="G6" t="s">
        <v>64</v>
      </c>
      <c r="H6">
        <v>34</v>
      </c>
      <c r="I6" t="str">
        <f>IFERROR(VLOOKUP(C6,Merchants!$A$2:$D$41,2,FALSE),"Merchant not found")</f>
        <v>Merchant_016</v>
      </c>
      <c r="J6" t="str">
        <f>IFERROR(VLOOKUP(C6,Merchants!$A$2:$D$41,3,FALSE),"Merchant not found")</f>
        <v>bill_payment</v>
      </c>
      <c r="K6" t="str">
        <f>IFERROR(VLOOKUP(C6,Merchants!$A$2:$D$41,4,FALSE),"Merchant not found")</f>
        <v>West</v>
      </c>
      <c r="L6" s="2">
        <f>HLOOKUP(F6,Fee_lookup!$A$2:$E$3,2,FALSE)</f>
        <v>2.0000000000000001E-4</v>
      </c>
      <c r="M6" s="6">
        <f t="shared" si="0"/>
        <v>46052</v>
      </c>
      <c r="N6">
        <f t="shared" si="1"/>
        <v>898</v>
      </c>
      <c r="O6" t="str">
        <f t="shared" si="2"/>
        <v>Normal Merchant Day</v>
      </c>
    </row>
    <row r="7" spans="1:15" x14ac:dyDescent="0.3">
      <c r="A7" t="s">
        <v>71</v>
      </c>
      <c r="B7">
        <v>196</v>
      </c>
      <c r="C7">
        <v>3</v>
      </c>
      <c r="D7" s="1">
        <v>46028.92083333333</v>
      </c>
      <c r="E7">
        <v>99</v>
      </c>
      <c r="F7" t="s">
        <v>66</v>
      </c>
      <c r="G7" t="s">
        <v>64</v>
      </c>
      <c r="H7">
        <v>60</v>
      </c>
      <c r="I7" t="str">
        <f>IFERROR(VLOOKUP(C7,Merchants!$A$2:$D$41,2,FALSE),"Merchant not found")</f>
        <v>Merchant_003</v>
      </c>
      <c r="J7" t="str">
        <f>IFERROR(VLOOKUP(C7,Merchants!$A$2:$D$41,3,FALSE),"Merchant not found")</f>
        <v>grocery</v>
      </c>
      <c r="K7" t="str">
        <f>IFERROR(VLOOKUP(C7,Merchants!$A$2:$D$41,4,FALSE),"Merchant not found")</f>
        <v>East</v>
      </c>
      <c r="L7" s="2">
        <f>HLOOKUP(F7,Fee_lookup!$A$2:$E$3,2,FALSE)</f>
        <v>2.0000000000000001E-4</v>
      </c>
      <c r="M7" s="6">
        <f t="shared" si="0"/>
        <v>46028</v>
      </c>
      <c r="N7">
        <f t="shared" si="1"/>
        <v>898</v>
      </c>
      <c r="O7" t="str">
        <f t="shared" si="2"/>
        <v>Normal Merchant Day</v>
      </c>
    </row>
    <row r="8" spans="1:15" x14ac:dyDescent="0.3">
      <c r="A8" t="s">
        <v>72</v>
      </c>
      <c r="B8">
        <v>236</v>
      </c>
      <c r="C8">
        <v>23</v>
      </c>
      <c r="D8" s="1">
        <v>46030.286111111112</v>
      </c>
      <c r="E8">
        <v>99</v>
      </c>
      <c r="F8" t="s">
        <v>63</v>
      </c>
      <c r="G8" t="s">
        <v>64</v>
      </c>
      <c r="H8">
        <v>39</v>
      </c>
      <c r="I8" t="str">
        <f>IFERROR(VLOOKUP(C8,Merchants!$A$2:$D$41,2,FALSE),"Merchant not found")</f>
        <v>Merchant_023</v>
      </c>
      <c r="J8" t="str">
        <f>IFERROR(VLOOKUP(C8,Merchants!$A$2:$D$41,3,FALSE),"Merchant not found")</f>
        <v>travel</v>
      </c>
      <c r="K8" t="str">
        <f>IFERROR(VLOOKUP(C8,Merchants!$A$2:$D$41,4,FALSE),"Merchant not found")</f>
        <v>North</v>
      </c>
      <c r="L8" s="2">
        <f>HLOOKUP(F8,Fee_lookup!$A$2:$E$3,2,FALSE)</f>
        <v>5.0000000000000001E-4</v>
      </c>
      <c r="M8" s="6">
        <f t="shared" si="0"/>
        <v>46030</v>
      </c>
      <c r="N8">
        <f t="shared" si="1"/>
        <v>99</v>
      </c>
      <c r="O8" t="str">
        <f t="shared" si="2"/>
        <v>Normal Merchant Day</v>
      </c>
    </row>
    <row r="9" spans="1:15" x14ac:dyDescent="0.3">
      <c r="A9" t="s">
        <v>73</v>
      </c>
      <c r="B9">
        <v>13</v>
      </c>
      <c r="C9">
        <v>13</v>
      </c>
      <c r="D9" s="1">
        <v>46049.301388888889</v>
      </c>
      <c r="E9">
        <v>99</v>
      </c>
      <c r="F9" t="s">
        <v>66</v>
      </c>
      <c r="G9" t="s">
        <v>64</v>
      </c>
      <c r="H9">
        <v>51</v>
      </c>
      <c r="I9" t="str">
        <f>IFERROR(VLOOKUP(C9,Merchants!$A$2:$D$41,2,FALSE),"Merchant not found")</f>
        <v>Merchant_013</v>
      </c>
      <c r="J9" t="str">
        <f>IFERROR(VLOOKUP(C9,Merchants!$A$2:$D$41,3,FALSE),"Merchant not found")</f>
        <v>travel</v>
      </c>
      <c r="K9" t="str">
        <f>IFERROR(VLOOKUP(C9,Merchants!$A$2:$D$41,4,FALSE),"Merchant not found")</f>
        <v>East</v>
      </c>
      <c r="L9" s="2">
        <f>HLOOKUP(F9,Fee_lookup!$A$2:$E$3,2,FALSE)</f>
        <v>2.0000000000000001E-4</v>
      </c>
      <c r="M9" s="6">
        <f t="shared" si="0"/>
        <v>46049</v>
      </c>
      <c r="N9">
        <f t="shared" si="1"/>
        <v>99</v>
      </c>
      <c r="O9" t="str">
        <f t="shared" si="2"/>
        <v>Normal Merchant Day</v>
      </c>
    </row>
    <row r="10" spans="1:15" x14ac:dyDescent="0.3">
      <c r="A10" t="s">
        <v>74</v>
      </c>
      <c r="B10">
        <v>36</v>
      </c>
      <c r="C10">
        <v>18</v>
      </c>
      <c r="D10" s="1">
        <v>46033.371527777781</v>
      </c>
      <c r="E10">
        <v>799</v>
      </c>
      <c r="F10" t="s">
        <v>66</v>
      </c>
      <c r="G10" t="s">
        <v>64</v>
      </c>
      <c r="H10">
        <v>44</v>
      </c>
      <c r="I10" t="str">
        <f>IFERROR(VLOOKUP(C10,Merchants!$A$2:$D$41,2,FALSE),"Merchant not found")</f>
        <v>Merchant_018</v>
      </c>
      <c r="J10" t="str">
        <f>IFERROR(VLOOKUP(C10,Merchants!$A$2:$D$41,3,FALSE),"Merchant not found")</f>
        <v>grocery</v>
      </c>
      <c r="K10" t="str">
        <f>IFERROR(VLOOKUP(C10,Merchants!$A$2:$D$41,4,FALSE),"Merchant not found")</f>
        <v>West</v>
      </c>
      <c r="L10" s="2">
        <f>HLOOKUP(F10,Fee_lookup!$A$2:$E$3,2,FALSE)</f>
        <v>2.0000000000000001E-4</v>
      </c>
      <c r="M10" s="6">
        <f t="shared" si="0"/>
        <v>46033</v>
      </c>
      <c r="N10">
        <f t="shared" si="1"/>
        <v>799</v>
      </c>
      <c r="O10" t="str">
        <f t="shared" si="2"/>
        <v>Normal Merchant Day</v>
      </c>
    </row>
    <row r="11" spans="1:15" x14ac:dyDescent="0.3">
      <c r="A11" t="s">
        <v>75</v>
      </c>
      <c r="B11">
        <v>348</v>
      </c>
      <c r="C11">
        <v>35</v>
      </c>
      <c r="D11" s="1">
        <v>46043.684027777781</v>
      </c>
      <c r="E11">
        <v>299</v>
      </c>
      <c r="F11" t="s">
        <v>66</v>
      </c>
      <c r="G11" t="s">
        <v>64</v>
      </c>
      <c r="H11">
        <v>42</v>
      </c>
      <c r="I11" t="str">
        <f>IFERROR(VLOOKUP(C11,Merchants!$A$2:$D$41,2,FALSE),"Merchant not found")</f>
        <v>Merchant_035</v>
      </c>
      <c r="J11" t="str">
        <f>IFERROR(VLOOKUP(C11,Merchants!$A$2:$D$41,3,FALSE),"Merchant not found")</f>
        <v>recharge</v>
      </c>
      <c r="K11" t="str">
        <f>IFERROR(VLOOKUP(C11,Merchants!$A$2:$D$41,4,FALSE),"Merchant not found")</f>
        <v>East</v>
      </c>
      <c r="L11" s="2">
        <f>HLOOKUP(F11,Fee_lookup!$A$2:$E$3,2,FALSE)</f>
        <v>2.0000000000000001E-4</v>
      </c>
      <c r="M11" s="6">
        <f t="shared" si="0"/>
        <v>46043</v>
      </c>
      <c r="N11">
        <f t="shared" si="1"/>
        <v>299</v>
      </c>
      <c r="O11" t="str">
        <f t="shared" si="2"/>
        <v>Normal Merchant Day</v>
      </c>
    </row>
    <row r="12" spans="1:15" x14ac:dyDescent="0.3">
      <c r="A12" t="s">
        <v>76</v>
      </c>
      <c r="B12">
        <v>134</v>
      </c>
      <c r="C12">
        <v>12</v>
      </c>
      <c r="D12" s="1">
        <v>46023.163888888892</v>
      </c>
      <c r="E12">
        <v>49</v>
      </c>
      <c r="F12" t="s">
        <v>66</v>
      </c>
      <c r="G12" t="s">
        <v>64</v>
      </c>
      <c r="H12">
        <v>74</v>
      </c>
      <c r="I12" t="str">
        <f>IFERROR(VLOOKUP(C12,Merchants!$A$2:$D$41,2,FALSE),"Merchant not found")</f>
        <v>Merchant_012</v>
      </c>
      <c r="J12" t="str">
        <f>IFERROR(VLOOKUP(C12,Merchants!$A$2:$D$41,3,FALSE),"Merchant not found")</f>
        <v>ecommerce</v>
      </c>
      <c r="K12" t="str">
        <f>IFERROR(VLOOKUP(C12,Merchants!$A$2:$D$41,4,FALSE),"Merchant not found")</f>
        <v>East</v>
      </c>
      <c r="L12" s="2">
        <f>HLOOKUP(F12,Fee_lookup!$A$2:$E$3,2,FALSE)</f>
        <v>2.0000000000000001E-4</v>
      </c>
      <c r="M12" s="6">
        <f t="shared" si="0"/>
        <v>46023</v>
      </c>
      <c r="N12">
        <f t="shared" si="1"/>
        <v>548</v>
      </c>
      <c r="O12" t="str">
        <f t="shared" si="2"/>
        <v>Normal Merchant Day</v>
      </c>
    </row>
    <row r="13" spans="1:15" x14ac:dyDescent="0.3">
      <c r="A13" t="s">
        <v>77</v>
      </c>
      <c r="B13">
        <v>306</v>
      </c>
      <c r="C13">
        <v>28</v>
      </c>
      <c r="D13" s="1">
        <v>46031.04583333333</v>
      </c>
      <c r="E13">
        <v>2999</v>
      </c>
      <c r="F13" t="s">
        <v>78</v>
      </c>
      <c r="G13" t="s">
        <v>79</v>
      </c>
      <c r="H13">
        <v>44</v>
      </c>
      <c r="I13" t="str">
        <f>IFERROR(VLOOKUP(C13,Merchants!$A$2:$D$41,2,FALSE),"Merchant not found")</f>
        <v>Merchant_028</v>
      </c>
      <c r="J13" t="str">
        <f>IFERROR(VLOOKUP(C13,Merchants!$A$2:$D$41,3,FALSE),"Merchant not found")</f>
        <v>ecommerce</v>
      </c>
      <c r="K13" t="str">
        <f>IFERROR(VLOOKUP(C13,Merchants!$A$2:$D$41,4,FALSE),"Merchant not found")</f>
        <v>South</v>
      </c>
      <c r="L13" s="2">
        <f>HLOOKUP(F13,Fee_lookup!$A$2:$E$3,2,FALSE)</f>
        <v>1.4999999999999999E-2</v>
      </c>
      <c r="M13" s="6">
        <f t="shared" si="0"/>
        <v>46031</v>
      </c>
      <c r="N13">
        <f t="shared" si="1"/>
        <v>2999</v>
      </c>
      <c r="O13" t="str">
        <f t="shared" si="2"/>
        <v>Normal Merchant Day</v>
      </c>
    </row>
    <row r="14" spans="1:15" x14ac:dyDescent="0.3">
      <c r="A14" t="s">
        <v>80</v>
      </c>
      <c r="B14">
        <v>311</v>
      </c>
      <c r="C14">
        <v>33</v>
      </c>
      <c r="D14" s="1">
        <v>46046.435416666667</v>
      </c>
      <c r="E14">
        <v>49</v>
      </c>
      <c r="F14" t="s">
        <v>63</v>
      </c>
      <c r="G14" t="s">
        <v>64</v>
      </c>
      <c r="H14">
        <v>14</v>
      </c>
      <c r="I14" t="str">
        <f>IFERROR(VLOOKUP(C14,Merchants!$A$2:$D$41,2,FALSE),"Merchant not found")</f>
        <v>Merchant_033</v>
      </c>
      <c r="J14" t="str">
        <f>IFERROR(VLOOKUP(C14,Merchants!$A$2:$D$41,3,FALSE),"Merchant not found")</f>
        <v>bill_payment</v>
      </c>
      <c r="K14" t="str">
        <f>IFERROR(VLOOKUP(C14,Merchants!$A$2:$D$41,4,FALSE),"Merchant not found")</f>
        <v>East</v>
      </c>
      <c r="L14" s="2">
        <f>HLOOKUP(F14,Fee_lookup!$A$2:$E$3,2,FALSE)</f>
        <v>5.0000000000000001E-4</v>
      </c>
      <c r="M14" s="6">
        <f t="shared" si="0"/>
        <v>46046</v>
      </c>
      <c r="N14">
        <f t="shared" si="1"/>
        <v>49</v>
      </c>
      <c r="O14" t="str">
        <f t="shared" si="2"/>
        <v>Normal Merchant Day</v>
      </c>
    </row>
    <row r="15" spans="1:15" x14ac:dyDescent="0.3">
      <c r="A15" t="s">
        <v>81</v>
      </c>
      <c r="B15">
        <v>131</v>
      </c>
      <c r="C15">
        <v>3</v>
      </c>
      <c r="D15" s="1">
        <v>46035.758333333331</v>
      </c>
      <c r="E15">
        <v>49</v>
      </c>
      <c r="F15" t="s">
        <v>66</v>
      </c>
      <c r="G15" t="s">
        <v>64</v>
      </c>
      <c r="H15">
        <v>90</v>
      </c>
      <c r="I15" t="str">
        <f>IFERROR(VLOOKUP(C15,Merchants!$A$2:$D$41,2,FALSE),"Merchant not found")</f>
        <v>Merchant_003</v>
      </c>
      <c r="J15" t="str">
        <f>IFERROR(VLOOKUP(C15,Merchants!$A$2:$D$41,3,FALSE),"Merchant not found")</f>
        <v>grocery</v>
      </c>
      <c r="K15" t="str">
        <f>IFERROR(VLOOKUP(C15,Merchants!$A$2:$D$41,4,FALSE),"Merchant not found")</f>
        <v>East</v>
      </c>
      <c r="L15" s="2">
        <f>HLOOKUP(F15,Fee_lookup!$A$2:$E$3,2,FALSE)</f>
        <v>2.0000000000000001E-4</v>
      </c>
      <c r="M15" s="6">
        <f t="shared" si="0"/>
        <v>46035</v>
      </c>
      <c r="N15">
        <f t="shared" si="1"/>
        <v>198</v>
      </c>
      <c r="O15" t="str">
        <f t="shared" si="2"/>
        <v>Normal Merchant Day</v>
      </c>
    </row>
    <row r="16" spans="1:15" x14ac:dyDescent="0.3">
      <c r="A16" t="s">
        <v>82</v>
      </c>
      <c r="B16">
        <v>276</v>
      </c>
      <c r="C16">
        <v>13</v>
      </c>
      <c r="D16" s="1">
        <v>46036.022916666669</v>
      </c>
      <c r="E16">
        <v>1499</v>
      </c>
      <c r="F16" t="s">
        <v>66</v>
      </c>
      <c r="G16" t="s">
        <v>64</v>
      </c>
      <c r="H16">
        <v>46</v>
      </c>
      <c r="I16" t="str">
        <f>IFERROR(VLOOKUP(C16,Merchants!$A$2:$D$41,2,FALSE),"Merchant not found")</f>
        <v>Merchant_013</v>
      </c>
      <c r="J16" t="str">
        <f>IFERROR(VLOOKUP(C16,Merchants!$A$2:$D$41,3,FALSE),"Merchant not found")</f>
        <v>travel</v>
      </c>
      <c r="K16" t="str">
        <f>IFERROR(VLOOKUP(C16,Merchants!$A$2:$D$41,4,FALSE),"Merchant not found")</f>
        <v>East</v>
      </c>
      <c r="L16" s="2">
        <f>HLOOKUP(F16,Fee_lookup!$A$2:$E$3,2,FALSE)</f>
        <v>2.0000000000000001E-4</v>
      </c>
      <c r="M16" s="6">
        <f t="shared" si="0"/>
        <v>46036</v>
      </c>
      <c r="N16">
        <f t="shared" si="1"/>
        <v>1499</v>
      </c>
      <c r="O16" t="str">
        <f t="shared" si="2"/>
        <v>Normal Merchant Day</v>
      </c>
    </row>
    <row r="17" spans="1:15" x14ac:dyDescent="0.3">
      <c r="A17" t="s">
        <v>83</v>
      </c>
      <c r="B17">
        <v>170</v>
      </c>
      <c r="C17">
        <v>40</v>
      </c>
      <c r="D17" s="1">
        <v>46036.112500000003</v>
      </c>
      <c r="E17">
        <v>99</v>
      </c>
      <c r="F17" t="s">
        <v>66</v>
      </c>
      <c r="G17" t="s">
        <v>64</v>
      </c>
      <c r="H17">
        <v>40</v>
      </c>
      <c r="I17" t="str">
        <f>IFERROR(VLOOKUP(C17,Merchants!$A$2:$D$41,2,FALSE),"Merchant not found")</f>
        <v>Merchant_040</v>
      </c>
      <c r="J17" t="str">
        <f>IFERROR(VLOOKUP(C17,Merchants!$A$2:$D$41,3,FALSE),"Merchant not found")</f>
        <v>entertainment</v>
      </c>
      <c r="K17" t="str">
        <f>IFERROR(VLOOKUP(C17,Merchants!$A$2:$D$41,4,FALSE),"Merchant not found")</f>
        <v>South</v>
      </c>
      <c r="L17" s="2">
        <f>HLOOKUP(F17,Fee_lookup!$A$2:$E$3,2,FALSE)</f>
        <v>2.0000000000000001E-4</v>
      </c>
      <c r="M17" s="6">
        <f t="shared" si="0"/>
        <v>46036</v>
      </c>
      <c r="N17">
        <f t="shared" si="1"/>
        <v>99</v>
      </c>
      <c r="O17" t="str">
        <f t="shared" si="2"/>
        <v>Normal Merchant Day</v>
      </c>
    </row>
    <row r="18" spans="1:15" x14ac:dyDescent="0.3">
      <c r="A18" t="s">
        <v>84</v>
      </c>
      <c r="B18">
        <v>154</v>
      </c>
      <c r="C18">
        <v>33</v>
      </c>
      <c r="D18" s="1">
        <v>46044.156944444447</v>
      </c>
      <c r="E18">
        <v>99</v>
      </c>
      <c r="F18" t="s">
        <v>69</v>
      </c>
      <c r="G18" t="s">
        <v>64</v>
      </c>
      <c r="H18">
        <v>39</v>
      </c>
      <c r="I18" t="str">
        <f>IFERROR(VLOOKUP(C18,Merchants!$A$2:$D$41,2,FALSE),"Merchant not found")</f>
        <v>Merchant_033</v>
      </c>
      <c r="J18" t="str">
        <f>IFERROR(VLOOKUP(C18,Merchants!$A$2:$D$41,3,FALSE),"Merchant not found")</f>
        <v>bill_payment</v>
      </c>
      <c r="K18" t="str">
        <f>IFERROR(VLOOKUP(C18,Merchants!$A$2:$D$41,4,FALSE),"Merchant not found")</f>
        <v>East</v>
      </c>
      <c r="L18" s="2">
        <f>HLOOKUP(F18,Fee_lookup!$A$2:$E$3,2,FALSE)</f>
        <v>0.01</v>
      </c>
      <c r="M18" s="6">
        <f t="shared" si="0"/>
        <v>46044</v>
      </c>
      <c r="N18">
        <f t="shared" si="1"/>
        <v>99</v>
      </c>
      <c r="O18" t="str">
        <f t="shared" si="2"/>
        <v>Normal Merchant Day</v>
      </c>
    </row>
    <row r="19" spans="1:15" x14ac:dyDescent="0.3">
      <c r="A19" t="s">
        <v>85</v>
      </c>
      <c r="B19">
        <v>207</v>
      </c>
      <c r="C19">
        <v>19</v>
      </c>
      <c r="D19" s="1">
        <v>46044.555555555555</v>
      </c>
      <c r="E19">
        <v>2999</v>
      </c>
      <c r="F19" t="s">
        <v>78</v>
      </c>
      <c r="G19" t="s">
        <v>64</v>
      </c>
      <c r="H19">
        <v>70</v>
      </c>
      <c r="I19" t="str">
        <f>IFERROR(VLOOKUP(C19,Merchants!$A$2:$D$41,2,FALSE),"Merchant not found")</f>
        <v>Merchant_019</v>
      </c>
      <c r="J19" t="str">
        <f>IFERROR(VLOOKUP(C19,Merchants!$A$2:$D$41,3,FALSE),"Merchant not found")</f>
        <v>grocery</v>
      </c>
      <c r="K19" t="str">
        <f>IFERROR(VLOOKUP(C19,Merchants!$A$2:$D$41,4,FALSE),"Merchant not found")</f>
        <v>North</v>
      </c>
      <c r="L19" s="2">
        <f>HLOOKUP(F19,Fee_lookup!$A$2:$E$3,2,FALSE)</f>
        <v>1.4999999999999999E-2</v>
      </c>
      <c r="M19" s="6">
        <f t="shared" si="0"/>
        <v>46044</v>
      </c>
      <c r="N19">
        <f t="shared" si="1"/>
        <v>2999</v>
      </c>
      <c r="O19" t="str">
        <f t="shared" si="2"/>
        <v>Normal Merchant Day</v>
      </c>
    </row>
    <row r="20" spans="1:15" x14ac:dyDescent="0.3">
      <c r="A20" t="s">
        <v>86</v>
      </c>
      <c r="B20">
        <v>341</v>
      </c>
      <c r="C20">
        <v>25</v>
      </c>
      <c r="D20" s="1">
        <v>46027.268055555556</v>
      </c>
      <c r="E20">
        <v>2999</v>
      </c>
      <c r="F20" t="s">
        <v>66</v>
      </c>
      <c r="G20" t="s">
        <v>64</v>
      </c>
      <c r="H20">
        <v>86</v>
      </c>
      <c r="I20" t="str">
        <f>IFERROR(VLOOKUP(C20,Merchants!$A$2:$D$41,2,FALSE),"Merchant not found")</f>
        <v>Merchant_025</v>
      </c>
      <c r="J20" t="str">
        <f>IFERROR(VLOOKUP(C20,Merchants!$A$2:$D$41,3,FALSE),"Merchant not found")</f>
        <v>travel</v>
      </c>
      <c r="K20" t="str">
        <f>IFERROR(VLOOKUP(C20,Merchants!$A$2:$D$41,4,FALSE),"Merchant not found")</f>
        <v>South</v>
      </c>
      <c r="L20" s="2">
        <f>HLOOKUP(F20,Fee_lookup!$A$2:$E$3,2,FALSE)</f>
        <v>2.0000000000000001E-4</v>
      </c>
      <c r="M20" s="6">
        <f t="shared" si="0"/>
        <v>46027</v>
      </c>
      <c r="N20">
        <f t="shared" si="1"/>
        <v>4498</v>
      </c>
      <c r="O20" t="str">
        <f t="shared" si="2"/>
        <v>Normal Merchant Day</v>
      </c>
    </row>
    <row r="21" spans="1:15" x14ac:dyDescent="0.3">
      <c r="A21" t="s">
        <v>87</v>
      </c>
      <c r="B21">
        <v>292</v>
      </c>
      <c r="C21">
        <v>20</v>
      </c>
      <c r="D21" s="1">
        <v>46046.23541666667</v>
      </c>
      <c r="E21">
        <v>49</v>
      </c>
      <c r="F21" t="s">
        <v>66</v>
      </c>
      <c r="G21" t="s">
        <v>64</v>
      </c>
      <c r="H21">
        <v>51</v>
      </c>
      <c r="I21" t="str">
        <f>IFERROR(VLOOKUP(C21,Merchants!$A$2:$D$41,2,FALSE),"Merchant not found")</f>
        <v>Merchant_020</v>
      </c>
      <c r="J21" t="str">
        <f>IFERROR(VLOOKUP(C21,Merchants!$A$2:$D$41,3,FALSE),"Merchant not found")</f>
        <v>food_delivery</v>
      </c>
      <c r="K21" t="str">
        <f>IFERROR(VLOOKUP(C21,Merchants!$A$2:$D$41,4,FALSE),"Merchant not found")</f>
        <v>East</v>
      </c>
      <c r="L21" s="2">
        <f>HLOOKUP(F21,Fee_lookup!$A$2:$E$3,2,FALSE)</f>
        <v>2.0000000000000001E-4</v>
      </c>
      <c r="M21" s="6">
        <f t="shared" si="0"/>
        <v>46046</v>
      </c>
      <c r="N21">
        <f t="shared" si="1"/>
        <v>49</v>
      </c>
      <c r="O21" t="str">
        <f t="shared" si="2"/>
        <v>Normal Merchant Day</v>
      </c>
    </row>
    <row r="22" spans="1:15" x14ac:dyDescent="0.3">
      <c r="A22" t="s">
        <v>88</v>
      </c>
      <c r="B22">
        <v>147</v>
      </c>
      <c r="C22">
        <v>14</v>
      </c>
      <c r="D22" s="1">
        <v>46040.013194444444</v>
      </c>
      <c r="E22">
        <v>99</v>
      </c>
      <c r="F22" t="s">
        <v>78</v>
      </c>
      <c r="G22" t="s">
        <v>64</v>
      </c>
      <c r="H22">
        <v>55</v>
      </c>
      <c r="I22" t="str">
        <f>IFERROR(VLOOKUP(C22,Merchants!$A$2:$D$41,2,FALSE),"Merchant not found")</f>
        <v>Merchant_014</v>
      </c>
      <c r="J22" t="str">
        <f>IFERROR(VLOOKUP(C22,Merchants!$A$2:$D$41,3,FALSE),"Merchant not found")</f>
        <v>grocery</v>
      </c>
      <c r="K22" t="str">
        <f>IFERROR(VLOOKUP(C22,Merchants!$A$2:$D$41,4,FALSE),"Merchant not found")</f>
        <v>East</v>
      </c>
      <c r="L22" s="2">
        <f>HLOOKUP(F22,Fee_lookup!$A$2:$E$3,2,FALSE)</f>
        <v>1.4999999999999999E-2</v>
      </c>
      <c r="M22" s="6">
        <f t="shared" si="0"/>
        <v>46040</v>
      </c>
      <c r="N22">
        <f t="shared" si="1"/>
        <v>99</v>
      </c>
      <c r="O22" t="str">
        <f t="shared" si="2"/>
        <v>Normal Merchant Day</v>
      </c>
    </row>
    <row r="23" spans="1:15" x14ac:dyDescent="0.3">
      <c r="A23" t="s">
        <v>89</v>
      </c>
      <c r="B23">
        <v>336</v>
      </c>
      <c r="C23">
        <v>21</v>
      </c>
      <c r="D23" s="1">
        <v>46048.776388888888</v>
      </c>
      <c r="E23">
        <v>99</v>
      </c>
      <c r="F23" t="s">
        <v>66</v>
      </c>
      <c r="G23" t="s">
        <v>64</v>
      </c>
      <c r="H23">
        <v>59</v>
      </c>
      <c r="I23" t="str">
        <f>IFERROR(VLOOKUP(C23,Merchants!$A$2:$D$41,2,FALSE),"Merchant not found")</f>
        <v>Merchant_021</v>
      </c>
      <c r="J23" t="str">
        <f>IFERROR(VLOOKUP(C23,Merchants!$A$2:$D$41,3,FALSE),"Merchant not found")</f>
        <v>food_delivery</v>
      </c>
      <c r="K23" t="str">
        <f>IFERROR(VLOOKUP(C23,Merchants!$A$2:$D$41,4,FALSE),"Merchant not found")</f>
        <v>East</v>
      </c>
      <c r="L23" s="2">
        <f>HLOOKUP(F23,Fee_lookup!$A$2:$E$3,2,FALSE)</f>
        <v>2.0000000000000001E-4</v>
      </c>
      <c r="M23" s="6">
        <f t="shared" si="0"/>
        <v>46048</v>
      </c>
      <c r="N23">
        <f t="shared" si="1"/>
        <v>99</v>
      </c>
      <c r="O23" t="str">
        <f t="shared" si="2"/>
        <v>Normal Merchant Day</v>
      </c>
    </row>
    <row r="24" spans="1:15" x14ac:dyDescent="0.3">
      <c r="A24" t="s">
        <v>90</v>
      </c>
      <c r="B24">
        <v>110</v>
      </c>
      <c r="C24">
        <v>33</v>
      </c>
      <c r="D24" s="1">
        <v>46037.613194444442</v>
      </c>
      <c r="E24">
        <v>799</v>
      </c>
      <c r="F24" t="s">
        <v>66</v>
      </c>
      <c r="G24" t="s">
        <v>64</v>
      </c>
      <c r="H24">
        <v>60</v>
      </c>
      <c r="I24" t="str">
        <f>IFERROR(VLOOKUP(C24,Merchants!$A$2:$D$41,2,FALSE),"Merchant not found")</f>
        <v>Merchant_033</v>
      </c>
      <c r="J24" t="str">
        <f>IFERROR(VLOOKUP(C24,Merchants!$A$2:$D$41,3,FALSE),"Merchant not found")</f>
        <v>bill_payment</v>
      </c>
      <c r="K24" t="str">
        <f>IFERROR(VLOOKUP(C24,Merchants!$A$2:$D$41,4,FALSE),"Merchant not found")</f>
        <v>East</v>
      </c>
      <c r="L24" s="2">
        <f>HLOOKUP(F24,Fee_lookup!$A$2:$E$3,2,FALSE)</f>
        <v>2.0000000000000001E-4</v>
      </c>
      <c r="M24" s="6">
        <f t="shared" si="0"/>
        <v>46037</v>
      </c>
      <c r="N24">
        <f t="shared" si="1"/>
        <v>799</v>
      </c>
      <c r="O24" t="str">
        <f t="shared" si="2"/>
        <v>Normal Merchant Day</v>
      </c>
    </row>
    <row r="25" spans="1:15" x14ac:dyDescent="0.3">
      <c r="A25" t="s">
        <v>91</v>
      </c>
      <c r="B25">
        <v>338</v>
      </c>
      <c r="C25">
        <v>6</v>
      </c>
      <c r="D25" s="1">
        <v>46048.965277777781</v>
      </c>
      <c r="E25">
        <v>799</v>
      </c>
      <c r="F25" t="s">
        <v>66</v>
      </c>
      <c r="G25" t="s">
        <v>92</v>
      </c>
      <c r="H25">
        <v>36</v>
      </c>
      <c r="I25" t="str">
        <f>IFERROR(VLOOKUP(C25,Merchants!$A$2:$D$41,2,FALSE),"Merchant not found")</f>
        <v>Merchant_006</v>
      </c>
      <c r="J25" t="str">
        <f>IFERROR(VLOOKUP(C25,Merchants!$A$2:$D$41,3,FALSE),"Merchant not found")</f>
        <v>food_delivery</v>
      </c>
      <c r="K25" t="str">
        <f>IFERROR(VLOOKUP(C25,Merchants!$A$2:$D$41,4,FALSE),"Merchant not found")</f>
        <v>South</v>
      </c>
      <c r="L25" s="2">
        <f>HLOOKUP(F25,Fee_lookup!$A$2:$E$3,2,FALSE)</f>
        <v>2.0000000000000001E-4</v>
      </c>
      <c r="M25" s="6">
        <f t="shared" si="0"/>
        <v>46048</v>
      </c>
      <c r="N25">
        <f t="shared" si="1"/>
        <v>897</v>
      </c>
      <c r="O25" t="str">
        <f t="shared" si="2"/>
        <v>Normal Merchant Day</v>
      </c>
    </row>
    <row r="26" spans="1:15" x14ac:dyDescent="0.3">
      <c r="A26" t="s">
        <v>93</v>
      </c>
      <c r="B26">
        <v>318</v>
      </c>
      <c r="C26">
        <v>22</v>
      </c>
      <c r="D26" s="1">
        <v>46039.902777777781</v>
      </c>
      <c r="E26">
        <v>799</v>
      </c>
      <c r="F26" t="s">
        <v>63</v>
      </c>
      <c r="G26" t="s">
        <v>64</v>
      </c>
      <c r="H26">
        <v>11</v>
      </c>
      <c r="I26" t="str">
        <f>IFERROR(VLOOKUP(C26,Merchants!$A$2:$D$41,2,FALSE),"Merchant not found")</f>
        <v>Merchant_022</v>
      </c>
      <c r="J26" t="str">
        <f>IFERROR(VLOOKUP(C26,Merchants!$A$2:$D$41,3,FALSE),"Merchant not found")</f>
        <v>travel</v>
      </c>
      <c r="K26" t="str">
        <f>IFERROR(VLOOKUP(C26,Merchants!$A$2:$D$41,4,FALSE),"Merchant not found")</f>
        <v>South</v>
      </c>
      <c r="L26" s="2">
        <f>HLOOKUP(F26,Fee_lookup!$A$2:$E$3,2,FALSE)</f>
        <v>5.0000000000000001E-4</v>
      </c>
      <c r="M26" s="6">
        <f t="shared" si="0"/>
        <v>46039</v>
      </c>
      <c r="N26">
        <f t="shared" si="1"/>
        <v>1598</v>
      </c>
      <c r="O26" t="str">
        <f t="shared" si="2"/>
        <v>Normal Merchant Day</v>
      </c>
    </row>
    <row r="27" spans="1:15" x14ac:dyDescent="0.3">
      <c r="A27" t="s">
        <v>94</v>
      </c>
      <c r="B27">
        <v>159</v>
      </c>
      <c r="C27">
        <v>15</v>
      </c>
      <c r="D27" s="1">
        <v>46049.321527777778</v>
      </c>
      <c r="E27">
        <v>799</v>
      </c>
      <c r="F27" t="s">
        <v>66</v>
      </c>
      <c r="G27" t="s">
        <v>64</v>
      </c>
      <c r="H27">
        <v>25</v>
      </c>
      <c r="I27" t="str">
        <f>IFERROR(VLOOKUP(C27,Merchants!$A$2:$D$41,2,FALSE),"Merchant not found")</f>
        <v>Merchant_015</v>
      </c>
      <c r="J27" t="str">
        <f>IFERROR(VLOOKUP(C27,Merchants!$A$2:$D$41,3,FALSE),"Merchant not found")</f>
        <v>travel</v>
      </c>
      <c r="K27" t="str">
        <f>IFERROR(VLOOKUP(C27,Merchants!$A$2:$D$41,4,FALSE),"Merchant not found")</f>
        <v>North</v>
      </c>
      <c r="L27" s="2">
        <f>HLOOKUP(F27,Fee_lookup!$A$2:$E$3,2,FALSE)</f>
        <v>2.0000000000000001E-4</v>
      </c>
      <c r="M27" s="6">
        <f t="shared" si="0"/>
        <v>46049</v>
      </c>
      <c r="N27">
        <f t="shared" si="1"/>
        <v>799</v>
      </c>
      <c r="O27" t="str">
        <f t="shared" si="2"/>
        <v>Normal Merchant Day</v>
      </c>
    </row>
    <row r="28" spans="1:15" x14ac:dyDescent="0.3">
      <c r="A28" t="s">
        <v>95</v>
      </c>
      <c r="B28">
        <v>126</v>
      </c>
      <c r="C28">
        <v>31</v>
      </c>
      <c r="D28" s="1">
        <v>46027.001388888886</v>
      </c>
      <c r="E28">
        <v>49</v>
      </c>
      <c r="F28" t="s">
        <v>78</v>
      </c>
      <c r="G28" t="s">
        <v>64</v>
      </c>
      <c r="H28">
        <v>78</v>
      </c>
      <c r="I28" t="str">
        <f>IFERROR(VLOOKUP(C28,Merchants!$A$2:$D$41,2,FALSE),"Merchant not found")</f>
        <v>Merchant_031</v>
      </c>
      <c r="J28" t="str">
        <f>IFERROR(VLOOKUP(C28,Merchants!$A$2:$D$41,3,FALSE),"Merchant not found")</f>
        <v>bill_payment</v>
      </c>
      <c r="K28" t="str">
        <f>IFERROR(VLOOKUP(C28,Merchants!$A$2:$D$41,4,FALSE),"Merchant not found")</f>
        <v>East</v>
      </c>
      <c r="L28" s="2">
        <f>HLOOKUP(F28,Fee_lookup!$A$2:$E$3,2,FALSE)</f>
        <v>1.4999999999999999E-2</v>
      </c>
      <c r="M28" s="6">
        <f t="shared" si="0"/>
        <v>46027</v>
      </c>
      <c r="N28">
        <f t="shared" si="1"/>
        <v>49</v>
      </c>
      <c r="O28" t="str">
        <f t="shared" si="2"/>
        <v>Normal Merchant Day</v>
      </c>
    </row>
    <row r="29" spans="1:15" x14ac:dyDescent="0.3">
      <c r="A29" t="s">
        <v>96</v>
      </c>
      <c r="B29">
        <v>213</v>
      </c>
      <c r="C29">
        <v>37</v>
      </c>
      <c r="D29" s="1">
        <v>46050.103472222225</v>
      </c>
      <c r="E29">
        <v>99</v>
      </c>
      <c r="F29" t="s">
        <v>66</v>
      </c>
      <c r="G29" t="s">
        <v>64</v>
      </c>
      <c r="H29">
        <v>24</v>
      </c>
      <c r="I29" t="str">
        <f>IFERROR(VLOOKUP(C29,Merchants!$A$2:$D$41,2,FALSE),"Merchant not found")</f>
        <v>Merchant_037</v>
      </c>
      <c r="J29" t="str">
        <f>IFERROR(VLOOKUP(C29,Merchants!$A$2:$D$41,3,FALSE),"Merchant not found")</f>
        <v>entertainment</v>
      </c>
      <c r="K29" t="str">
        <f>IFERROR(VLOOKUP(C29,Merchants!$A$2:$D$41,4,FALSE),"Merchant not found")</f>
        <v>South</v>
      </c>
      <c r="L29" s="2">
        <f>HLOOKUP(F29,Fee_lookup!$A$2:$E$3,2,FALSE)</f>
        <v>2.0000000000000001E-4</v>
      </c>
      <c r="M29" s="6">
        <f t="shared" si="0"/>
        <v>46050</v>
      </c>
      <c r="N29">
        <f t="shared" si="1"/>
        <v>697</v>
      </c>
      <c r="O29" t="str">
        <f t="shared" si="2"/>
        <v>Normal Merchant Day</v>
      </c>
    </row>
    <row r="30" spans="1:15" x14ac:dyDescent="0.3">
      <c r="A30" t="s">
        <v>97</v>
      </c>
      <c r="B30">
        <v>254</v>
      </c>
      <c r="C30">
        <v>26</v>
      </c>
      <c r="D30" s="1">
        <v>46045.933333333334</v>
      </c>
      <c r="E30">
        <v>99</v>
      </c>
      <c r="F30" t="s">
        <v>63</v>
      </c>
      <c r="G30" t="s">
        <v>64</v>
      </c>
      <c r="H30">
        <v>31</v>
      </c>
      <c r="I30" t="str">
        <f>IFERROR(VLOOKUP(C30,Merchants!$A$2:$D$41,2,FALSE),"Merchant not found")</f>
        <v>Merchant_026</v>
      </c>
      <c r="J30" t="str">
        <f>IFERROR(VLOOKUP(C30,Merchants!$A$2:$D$41,3,FALSE),"Merchant not found")</f>
        <v>food_delivery</v>
      </c>
      <c r="K30" t="str">
        <f>IFERROR(VLOOKUP(C30,Merchants!$A$2:$D$41,4,FALSE),"Merchant not found")</f>
        <v>East</v>
      </c>
      <c r="L30" s="2">
        <f>HLOOKUP(F30,Fee_lookup!$A$2:$E$3,2,FALSE)</f>
        <v>5.0000000000000001E-4</v>
      </c>
      <c r="M30" s="6">
        <f t="shared" si="0"/>
        <v>46045</v>
      </c>
      <c r="N30">
        <f t="shared" si="1"/>
        <v>99</v>
      </c>
      <c r="O30" t="str">
        <f t="shared" si="2"/>
        <v>Normal Merchant Day</v>
      </c>
    </row>
    <row r="31" spans="1:15" x14ac:dyDescent="0.3">
      <c r="A31" t="s">
        <v>98</v>
      </c>
      <c r="B31">
        <v>3</v>
      </c>
      <c r="C31">
        <v>7</v>
      </c>
      <c r="D31" s="1">
        <v>46027.863888888889</v>
      </c>
      <c r="E31">
        <v>1499</v>
      </c>
      <c r="F31" t="s">
        <v>66</v>
      </c>
      <c r="G31" t="s">
        <v>64</v>
      </c>
      <c r="H31">
        <v>99</v>
      </c>
      <c r="I31" t="str">
        <f>IFERROR(VLOOKUP(C31,Merchants!$A$2:$D$41,2,FALSE),"Merchant not found")</f>
        <v>Merchant_007</v>
      </c>
      <c r="J31" t="str">
        <f>IFERROR(VLOOKUP(C31,Merchants!$A$2:$D$41,3,FALSE),"Merchant not found")</f>
        <v>food_delivery</v>
      </c>
      <c r="K31" t="str">
        <f>IFERROR(VLOOKUP(C31,Merchants!$A$2:$D$41,4,FALSE),"Merchant not found")</f>
        <v>East</v>
      </c>
      <c r="L31" s="2">
        <f>HLOOKUP(F31,Fee_lookup!$A$2:$E$3,2,FALSE)</f>
        <v>2.0000000000000001E-4</v>
      </c>
      <c r="M31" s="6">
        <f t="shared" si="0"/>
        <v>46027</v>
      </c>
      <c r="N31">
        <f t="shared" si="1"/>
        <v>4498</v>
      </c>
      <c r="O31" t="str">
        <f t="shared" si="2"/>
        <v>Normal Merchant Day</v>
      </c>
    </row>
    <row r="32" spans="1:15" x14ac:dyDescent="0.3">
      <c r="A32" t="s">
        <v>99</v>
      </c>
      <c r="B32">
        <v>266</v>
      </c>
      <c r="C32">
        <v>30</v>
      </c>
      <c r="D32" s="1">
        <v>46036.299305555556</v>
      </c>
      <c r="E32">
        <v>499</v>
      </c>
      <c r="F32" t="s">
        <v>78</v>
      </c>
      <c r="G32" t="s">
        <v>64</v>
      </c>
      <c r="H32">
        <v>6</v>
      </c>
      <c r="I32" t="str">
        <f>IFERROR(VLOOKUP(C32,Merchants!$A$2:$D$41,2,FALSE),"Merchant not found")</f>
        <v>Merchant_030</v>
      </c>
      <c r="J32" t="str">
        <f>IFERROR(VLOOKUP(C32,Merchants!$A$2:$D$41,3,FALSE),"Merchant not found")</f>
        <v>travel</v>
      </c>
      <c r="K32" t="str">
        <f>IFERROR(VLOOKUP(C32,Merchants!$A$2:$D$41,4,FALSE),"Merchant not found")</f>
        <v>West</v>
      </c>
      <c r="L32" s="2">
        <f>HLOOKUP(F32,Fee_lookup!$A$2:$E$3,2,FALSE)</f>
        <v>1.4999999999999999E-2</v>
      </c>
      <c r="M32" s="6">
        <f t="shared" si="0"/>
        <v>46036</v>
      </c>
      <c r="N32">
        <f t="shared" si="1"/>
        <v>2497</v>
      </c>
      <c r="O32" t="str">
        <f t="shared" si="2"/>
        <v>Normal Merchant Day</v>
      </c>
    </row>
    <row r="33" spans="1:15" x14ac:dyDescent="0.3">
      <c r="A33" t="s">
        <v>100</v>
      </c>
      <c r="B33">
        <v>63</v>
      </c>
      <c r="C33">
        <v>30</v>
      </c>
      <c r="D33" s="1">
        <v>46040.331944444442</v>
      </c>
      <c r="E33">
        <v>799</v>
      </c>
      <c r="F33" t="s">
        <v>66</v>
      </c>
      <c r="G33" t="s">
        <v>64</v>
      </c>
      <c r="H33">
        <v>17</v>
      </c>
      <c r="I33" t="str">
        <f>IFERROR(VLOOKUP(C33,Merchants!$A$2:$D$41,2,FALSE),"Merchant not found")</f>
        <v>Merchant_030</v>
      </c>
      <c r="J33" t="str">
        <f>IFERROR(VLOOKUP(C33,Merchants!$A$2:$D$41,3,FALSE),"Merchant not found")</f>
        <v>travel</v>
      </c>
      <c r="K33" t="str">
        <f>IFERROR(VLOOKUP(C33,Merchants!$A$2:$D$41,4,FALSE),"Merchant not found")</f>
        <v>West</v>
      </c>
      <c r="L33" s="2">
        <f>HLOOKUP(F33,Fee_lookup!$A$2:$E$3,2,FALSE)</f>
        <v>2.0000000000000001E-4</v>
      </c>
      <c r="M33" s="6">
        <f t="shared" si="0"/>
        <v>46040</v>
      </c>
      <c r="N33">
        <f t="shared" si="1"/>
        <v>799</v>
      </c>
      <c r="O33" t="str">
        <f t="shared" si="2"/>
        <v>Normal Merchant Day</v>
      </c>
    </row>
    <row r="34" spans="1:15" x14ac:dyDescent="0.3">
      <c r="A34" t="s">
        <v>101</v>
      </c>
      <c r="B34">
        <v>272</v>
      </c>
      <c r="C34">
        <v>36</v>
      </c>
      <c r="D34" s="1">
        <v>46048.612500000003</v>
      </c>
      <c r="E34">
        <v>149</v>
      </c>
      <c r="F34" t="s">
        <v>66</v>
      </c>
      <c r="G34" t="s">
        <v>64</v>
      </c>
      <c r="H34">
        <v>76</v>
      </c>
      <c r="I34" t="str">
        <f>IFERROR(VLOOKUP(C34,Merchants!$A$2:$D$41,2,FALSE),"Merchant not found")</f>
        <v>Merchant_036</v>
      </c>
      <c r="J34" t="str">
        <f>IFERROR(VLOOKUP(C34,Merchants!$A$2:$D$41,3,FALSE),"Merchant not found")</f>
        <v>entertainment</v>
      </c>
      <c r="K34" t="str">
        <f>IFERROR(VLOOKUP(C34,Merchants!$A$2:$D$41,4,FALSE),"Merchant not found")</f>
        <v>East</v>
      </c>
      <c r="L34" s="2">
        <f>HLOOKUP(F34,Fee_lookup!$A$2:$E$3,2,FALSE)</f>
        <v>2.0000000000000001E-4</v>
      </c>
      <c r="M34" s="6">
        <f t="shared" si="0"/>
        <v>46048</v>
      </c>
      <c r="N34">
        <f t="shared" si="1"/>
        <v>198</v>
      </c>
      <c r="O34" t="str">
        <f t="shared" si="2"/>
        <v>Normal Merchant Day</v>
      </c>
    </row>
    <row r="35" spans="1:15" x14ac:dyDescent="0.3">
      <c r="A35" t="s">
        <v>102</v>
      </c>
      <c r="B35">
        <v>259</v>
      </c>
      <c r="C35">
        <v>28</v>
      </c>
      <c r="D35" s="1">
        <v>46033.61041666667</v>
      </c>
      <c r="E35">
        <v>49</v>
      </c>
      <c r="F35" t="s">
        <v>63</v>
      </c>
      <c r="G35" t="s">
        <v>64</v>
      </c>
      <c r="H35">
        <v>70</v>
      </c>
      <c r="I35" t="str">
        <f>IFERROR(VLOOKUP(C35,Merchants!$A$2:$D$41,2,FALSE),"Merchant not found")</f>
        <v>Merchant_028</v>
      </c>
      <c r="J35" t="str">
        <f>IFERROR(VLOOKUP(C35,Merchants!$A$2:$D$41,3,FALSE),"Merchant not found")</f>
        <v>ecommerce</v>
      </c>
      <c r="K35" t="str">
        <f>IFERROR(VLOOKUP(C35,Merchants!$A$2:$D$41,4,FALSE),"Merchant not found")</f>
        <v>South</v>
      </c>
      <c r="L35" s="2">
        <f>HLOOKUP(F35,Fee_lookup!$A$2:$E$3,2,FALSE)</f>
        <v>5.0000000000000001E-4</v>
      </c>
      <c r="M35" s="6">
        <f t="shared" si="0"/>
        <v>46033</v>
      </c>
      <c r="N35">
        <f t="shared" si="1"/>
        <v>49</v>
      </c>
      <c r="O35" t="str">
        <f t="shared" si="2"/>
        <v>Normal Merchant Day</v>
      </c>
    </row>
    <row r="36" spans="1:15" x14ac:dyDescent="0.3">
      <c r="A36" t="s">
        <v>103</v>
      </c>
      <c r="B36">
        <v>244</v>
      </c>
      <c r="C36">
        <v>29</v>
      </c>
      <c r="D36" s="1">
        <v>46037.240972222222</v>
      </c>
      <c r="E36">
        <v>299</v>
      </c>
      <c r="F36" t="s">
        <v>69</v>
      </c>
      <c r="G36" t="s">
        <v>64</v>
      </c>
      <c r="H36">
        <v>33</v>
      </c>
      <c r="I36" t="str">
        <f>IFERROR(VLOOKUP(C36,Merchants!$A$2:$D$41,2,FALSE),"Merchant not found")</f>
        <v>Merchant_029</v>
      </c>
      <c r="J36" t="str">
        <f>IFERROR(VLOOKUP(C36,Merchants!$A$2:$D$41,3,FALSE),"Merchant not found")</f>
        <v>ecommerce</v>
      </c>
      <c r="K36" t="str">
        <f>IFERROR(VLOOKUP(C36,Merchants!$A$2:$D$41,4,FALSE),"Merchant not found")</f>
        <v>North</v>
      </c>
      <c r="L36" s="2">
        <f>HLOOKUP(F36,Fee_lookup!$A$2:$E$3,2,FALSE)</f>
        <v>0.01</v>
      </c>
      <c r="M36" s="6">
        <f t="shared" si="0"/>
        <v>46037</v>
      </c>
      <c r="N36">
        <f t="shared" si="1"/>
        <v>1098</v>
      </c>
      <c r="O36" t="str">
        <f t="shared" si="2"/>
        <v>Normal Merchant Day</v>
      </c>
    </row>
    <row r="37" spans="1:15" x14ac:dyDescent="0.3">
      <c r="A37" t="s">
        <v>104</v>
      </c>
      <c r="B37">
        <v>327</v>
      </c>
      <c r="C37">
        <v>18</v>
      </c>
      <c r="D37" s="1">
        <v>46047.328472222223</v>
      </c>
      <c r="E37">
        <v>149</v>
      </c>
      <c r="F37" t="s">
        <v>78</v>
      </c>
      <c r="G37" t="s">
        <v>64</v>
      </c>
      <c r="H37">
        <v>98</v>
      </c>
      <c r="I37" t="str">
        <f>IFERROR(VLOOKUP(C37,Merchants!$A$2:$D$41,2,FALSE),"Merchant not found")</f>
        <v>Merchant_018</v>
      </c>
      <c r="J37" t="str">
        <f>IFERROR(VLOOKUP(C37,Merchants!$A$2:$D$41,3,FALSE),"Merchant not found")</f>
        <v>grocery</v>
      </c>
      <c r="K37" t="str">
        <f>IFERROR(VLOOKUP(C37,Merchants!$A$2:$D$41,4,FALSE),"Merchant not found")</f>
        <v>West</v>
      </c>
      <c r="L37" s="2">
        <f>HLOOKUP(F37,Fee_lookup!$A$2:$E$3,2,FALSE)</f>
        <v>1.4999999999999999E-2</v>
      </c>
      <c r="M37" s="6">
        <f t="shared" si="0"/>
        <v>46047</v>
      </c>
      <c r="N37">
        <f t="shared" si="1"/>
        <v>1648</v>
      </c>
      <c r="O37" t="str">
        <f t="shared" si="2"/>
        <v>Normal Merchant Day</v>
      </c>
    </row>
    <row r="38" spans="1:15" x14ac:dyDescent="0.3">
      <c r="A38" t="s">
        <v>105</v>
      </c>
      <c r="B38">
        <v>321</v>
      </c>
      <c r="C38">
        <v>16</v>
      </c>
      <c r="D38" s="1">
        <v>46047.688194444447</v>
      </c>
      <c r="E38">
        <v>49</v>
      </c>
      <c r="F38" t="s">
        <v>66</v>
      </c>
      <c r="G38" t="s">
        <v>64</v>
      </c>
      <c r="H38">
        <v>35</v>
      </c>
      <c r="I38" t="str">
        <f>IFERROR(VLOOKUP(C38,Merchants!$A$2:$D$41,2,FALSE),"Merchant not found")</f>
        <v>Merchant_016</v>
      </c>
      <c r="J38" t="str">
        <f>IFERROR(VLOOKUP(C38,Merchants!$A$2:$D$41,3,FALSE),"Merchant not found")</f>
        <v>bill_payment</v>
      </c>
      <c r="K38" t="str">
        <f>IFERROR(VLOOKUP(C38,Merchants!$A$2:$D$41,4,FALSE),"Merchant not found")</f>
        <v>West</v>
      </c>
      <c r="L38" s="2">
        <f>HLOOKUP(F38,Fee_lookup!$A$2:$E$3,2,FALSE)</f>
        <v>2.0000000000000001E-4</v>
      </c>
      <c r="M38" s="6">
        <f t="shared" si="0"/>
        <v>46047</v>
      </c>
      <c r="N38">
        <f t="shared" si="1"/>
        <v>98</v>
      </c>
      <c r="O38" t="str">
        <f t="shared" si="2"/>
        <v>Normal Merchant Day</v>
      </c>
    </row>
    <row r="39" spans="1:15" x14ac:dyDescent="0.3">
      <c r="A39" t="s">
        <v>106</v>
      </c>
      <c r="B39">
        <v>147</v>
      </c>
      <c r="C39">
        <v>16</v>
      </c>
      <c r="D39" s="1">
        <v>46037.114583333336</v>
      </c>
      <c r="E39">
        <v>2999</v>
      </c>
      <c r="F39" t="s">
        <v>78</v>
      </c>
      <c r="G39" t="s">
        <v>64</v>
      </c>
      <c r="H39">
        <v>34</v>
      </c>
      <c r="I39" t="str">
        <f>IFERROR(VLOOKUP(C39,Merchants!$A$2:$D$41,2,FALSE),"Merchant not found")</f>
        <v>Merchant_016</v>
      </c>
      <c r="J39" t="str">
        <f>IFERROR(VLOOKUP(C39,Merchants!$A$2:$D$41,3,FALSE),"Merchant not found")</f>
        <v>bill_payment</v>
      </c>
      <c r="K39" t="str">
        <f>IFERROR(VLOOKUP(C39,Merchants!$A$2:$D$41,4,FALSE),"Merchant not found")</f>
        <v>West</v>
      </c>
      <c r="L39" s="2">
        <f>HLOOKUP(F39,Fee_lookup!$A$2:$E$3,2,FALSE)</f>
        <v>1.4999999999999999E-2</v>
      </c>
      <c r="M39" s="6">
        <f t="shared" si="0"/>
        <v>46037</v>
      </c>
      <c r="N39">
        <f t="shared" si="1"/>
        <v>2999</v>
      </c>
      <c r="O39" t="str">
        <f t="shared" si="2"/>
        <v>Normal Merchant Day</v>
      </c>
    </row>
    <row r="40" spans="1:15" x14ac:dyDescent="0.3">
      <c r="A40" t="s">
        <v>107</v>
      </c>
      <c r="B40">
        <v>277</v>
      </c>
      <c r="C40">
        <v>6</v>
      </c>
      <c r="D40" s="1">
        <v>46033.456250000003</v>
      </c>
      <c r="E40">
        <v>1499</v>
      </c>
      <c r="F40" t="s">
        <v>78</v>
      </c>
      <c r="G40" t="s">
        <v>64</v>
      </c>
      <c r="H40">
        <v>17</v>
      </c>
      <c r="I40" t="str">
        <f>IFERROR(VLOOKUP(C40,Merchants!$A$2:$D$41,2,FALSE),"Merchant not found")</f>
        <v>Merchant_006</v>
      </c>
      <c r="J40" t="str">
        <f>IFERROR(VLOOKUP(C40,Merchants!$A$2:$D$41,3,FALSE),"Merchant not found")</f>
        <v>food_delivery</v>
      </c>
      <c r="K40" t="str">
        <f>IFERROR(VLOOKUP(C40,Merchants!$A$2:$D$41,4,FALSE),"Merchant not found")</f>
        <v>South</v>
      </c>
      <c r="L40" s="2">
        <f>HLOOKUP(F40,Fee_lookup!$A$2:$E$3,2,FALSE)</f>
        <v>1.4999999999999999E-2</v>
      </c>
      <c r="M40" s="6">
        <f t="shared" si="0"/>
        <v>46033</v>
      </c>
      <c r="N40">
        <f t="shared" si="1"/>
        <v>1499</v>
      </c>
      <c r="O40" t="str">
        <f t="shared" si="2"/>
        <v>Normal Merchant Day</v>
      </c>
    </row>
    <row r="41" spans="1:15" x14ac:dyDescent="0.3">
      <c r="A41" t="s">
        <v>108</v>
      </c>
      <c r="B41">
        <v>79</v>
      </c>
      <c r="C41">
        <v>14</v>
      </c>
      <c r="D41" s="1">
        <v>46027.308333333334</v>
      </c>
      <c r="E41">
        <v>1499</v>
      </c>
      <c r="F41" t="s">
        <v>66</v>
      </c>
      <c r="G41" t="s">
        <v>64</v>
      </c>
      <c r="H41">
        <v>8</v>
      </c>
      <c r="I41" t="str">
        <f>IFERROR(VLOOKUP(C41,Merchants!$A$2:$D$41,2,FALSE),"Merchant not found")</f>
        <v>Merchant_014</v>
      </c>
      <c r="J41" t="str">
        <f>IFERROR(VLOOKUP(C41,Merchants!$A$2:$D$41,3,FALSE),"Merchant not found")</f>
        <v>grocery</v>
      </c>
      <c r="K41" t="str">
        <f>IFERROR(VLOOKUP(C41,Merchants!$A$2:$D$41,4,FALSE),"Merchant not found")</f>
        <v>East</v>
      </c>
      <c r="L41" s="2">
        <f>HLOOKUP(F41,Fee_lookup!$A$2:$E$3,2,FALSE)</f>
        <v>2.0000000000000001E-4</v>
      </c>
      <c r="M41" s="6">
        <f t="shared" si="0"/>
        <v>46027</v>
      </c>
      <c r="N41">
        <f t="shared" si="1"/>
        <v>1499</v>
      </c>
      <c r="O41" t="str">
        <f t="shared" si="2"/>
        <v>Normal Merchant Day</v>
      </c>
    </row>
    <row r="42" spans="1:15" x14ac:dyDescent="0.3">
      <c r="A42" t="s">
        <v>109</v>
      </c>
      <c r="B42">
        <v>278</v>
      </c>
      <c r="C42">
        <v>30</v>
      </c>
      <c r="D42" s="1">
        <v>46036.556250000001</v>
      </c>
      <c r="E42">
        <v>1499</v>
      </c>
      <c r="F42" t="s">
        <v>66</v>
      </c>
      <c r="G42" t="s">
        <v>64</v>
      </c>
      <c r="H42">
        <v>53</v>
      </c>
      <c r="I42" t="str">
        <f>IFERROR(VLOOKUP(C42,Merchants!$A$2:$D$41,2,FALSE),"Merchant not found")</f>
        <v>Merchant_030</v>
      </c>
      <c r="J42" t="str">
        <f>IFERROR(VLOOKUP(C42,Merchants!$A$2:$D$41,3,FALSE),"Merchant not found")</f>
        <v>travel</v>
      </c>
      <c r="K42" t="str">
        <f>IFERROR(VLOOKUP(C42,Merchants!$A$2:$D$41,4,FALSE),"Merchant not found")</f>
        <v>West</v>
      </c>
      <c r="L42" s="2">
        <f>HLOOKUP(F42,Fee_lookup!$A$2:$E$3,2,FALSE)</f>
        <v>2.0000000000000001E-4</v>
      </c>
      <c r="M42" s="6">
        <f t="shared" si="0"/>
        <v>46036</v>
      </c>
      <c r="N42">
        <f t="shared" si="1"/>
        <v>2497</v>
      </c>
      <c r="O42" t="str">
        <f t="shared" si="2"/>
        <v>Normal Merchant Day</v>
      </c>
    </row>
    <row r="43" spans="1:15" x14ac:dyDescent="0.3">
      <c r="A43" t="s">
        <v>110</v>
      </c>
      <c r="B43">
        <v>216</v>
      </c>
      <c r="C43">
        <v>25</v>
      </c>
      <c r="D43" s="1">
        <v>46024.286805555559</v>
      </c>
      <c r="E43">
        <v>99</v>
      </c>
      <c r="F43" t="s">
        <v>66</v>
      </c>
      <c r="G43" t="s">
        <v>64</v>
      </c>
      <c r="H43">
        <v>98</v>
      </c>
      <c r="I43" t="str">
        <f>IFERROR(VLOOKUP(C43,Merchants!$A$2:$D$41,2,FALSE),"Merchant not found")</f>
        <v>Merchant_025</v>
      </c>
      <c r="J43" t="str">
        <f>IFERROR(VLOOKUP(C43,Merchants!$A$2:$D$41,3,FALSE),"Merchant not found")</f>
        <v>travel</v>
      </c>
      <c r="K43" t="str">
        <f>IFERROR(VLOOKUP(C43,Merchants!$A$2:$D$41,4,FALSE),"Merchant not found")</f>
        <v>South</v>
      </c>
      <c r="L43" s="2">
        <f>HLOOKUP(F43,Fee_lookup!$A$2:$E$3,2,FALSE)</f>
        <v>2.0000000000000001E-4</v>
      </c>
      <c r="M43" s="6">
        <f t="shared" si="0"/>
        <v>46024</v>
      </c>
      <c r="N43">
        <f t="shared" si="1"/>
        <v>99</v>
      </c>
      <c r="O43" t="str">
        <f t="shared" si="2"/>
        <v>Normal Merchant Day</v>
      </c>
    </row>
    <row r="44" spans="1:15" x14ac:dyDescent="0.3">
      <c r="A44" t="s">
        <v>111</v>
      </c>
      <c r="B44">
        <v>295</v>
      </c>
      <c r="C44">
        <v>25</v>
      </c>
      <c r="D44" s="1">
        <v>46041.917361111111</v>
      </c>
      <c r="E44">
        <v>1499</v>
      </c>
      <c r="F44" t="s">
        <v>66</v>
      </c>
      <c r="G44" t="s">
        <v>64</v>
      </c>
      <c r="H44">
        <v>61</v>
      </c>
      <c r="I44" t="str">
        <f>IFERROR(VLOOKUP(C44,Merchants!$A$2:$D$41,2,FALSE),"Merchant not found")</f>
        <v>Merchant_025</v>
      </c>
      <c r="J44" t="str">
        <f>IFERROR(VLOOKUP(C44,Merchants!$A$2:$D$41,3,FALSE),"Merchant not found")</f>
        <v>travel</v>
      </c>
      <c r="K44" t="str">
        <f>IFERROR(VLOOKUP(C44,Merchants!$A$2:$D$41,4,FALSE),"Merchant not found")</f>
        <v>South</v>
      </c>
      <c r="L44" s="2">
        <f>HLOOKUP(F44,Fee_lookup!$A$2:$E$3,2,FALSE)</f>
        <v>2.0000000000000001E-4</v>
      </c>
      <c r="M44" s="6">
        <f t="shared" si="0"/>
        <v>46041</v>
      </c>
      <c r="N44">
        <f t="shared" si="1"/>
        <v>4498</v>
      </c>
      <c r="O44" t="str">
        <f t="shared" si="2"/>
        <v>Normal Merchant Day</v>
      </c>
    </row>
    <row r="45" spans="1:15" x14ac:dyDescent="0.3">
      <c r="A45" t="s">
        <v>112</v>
      </c>
      <c r="B45">
        <v>200</v>
      </c>
      <c r="C45">
        <v>27</v>
      </c>
      <c r="D45" s="1">
        <v>46023.47152777778</v>
      </c>
      <c r="E45">
        <v>149</v>
      </c>
      <c r="F45" t="s">
        <v>66</v>
      </c>
      <c r="G45" t="s">
        <v>64</v>
      </c>
      <c r="H45">
        <v>68</v>
      </c>
      <c r="I45" t="str">
        <f>IFERROR(VLOOKUP(C45,Merchants!$A$2:$D$41,2,FALSE),"Merchant not found")</f>
        <v>Merchant_027</v>
      </c>
      <c r="J45" t="str">
        <f>IFERROR(VLOOKUP(C45,Merchants!$A$2:$D$41,3,FALSE),"Merchant not found")</f>
        <v>ecommerce</v>
      </c>
      <c r="K45" t="str">
        <f>IFERROR(VLOOKUP(C45,Merchants!$A$2:$D$41,4,FALSE),"Merchant not found")</f>
        <v>North</v>
      </c>
      <c r="L45" s="2">
        <f>HLOOKUP(F45,Fee_lookup!$A$2:$E$3,2,FALSE)</f>
        <v>2.0000000000000001E-4</v>
      </c>
      <c r="M45" s="6">
        <f t="shared" si="0"/>
        <v>46023</v>
      </c>
      <c r="N45">
        <f t="shared" si="1"/>
        <v>149</v>
      </c>
      <c r="O45" t="str">
        <f t="shared" si="2"/>
        <v>Normal Merchant Day</v>
      </c>
    </row>
    <row r="46" spans="1:15" x14ac:dyDescent="0.3">
      <c r="A46" t="s">
        <v>113</v>
      </c>
      <c r="B46">
        <v>309</v>
      </c>
      <c r="C46">
        <v>15</v>
      </c>
      <c r="D46" s="1">
        <v>46046.981944444444</v>
      </c>
      <c r="E46">
        <v>99</v>
      </c>
      <c r="F46" t="s">
        <v>69</v>
      </c>
      <c r="G46" t="s">
        <v>64</v>
      </c>
      <c r="H46">
        <v>62</v>
      </c>
      <c r="I46" t="str">
        <f>IFERROR(VLOOKUP(C46,Merchants!$A$2:$D$41,2,FALSE),"Merchant not found")</f>
        <v>Merchant_015</v>
      </c>
      <c r="J46" t="str">
        <f>IFERROR(VLOOKUP(C46,Merchants!$A$2:$D$41,3,FALSE),"Merchant not found")</f>
        <v>travel</v>
      </c>
      <c r="K46" t="str">
        <f>IFERROR(VLOOKUP(C46,Merchants!$A$2:$D$41,4,FALSE),"Merchant not found")</f>
        <v>North</v>
      </c>
      <c r="L46" s="2">
        <f>HLOOKUP(F46,Fee_lookup!$A$2:$E$3,2,FALSE)</f>
        <v>0.01</v>
      </c>
      <c r="M46" s="6">
        <f t="shared" si="0"/>
        <v>46046</v>
      </c>
      <c r="N46">
        <f t="shared" si="1"/>
        <v>148</v>
      </c>
      <c r="O46" t="str">
        <f t="shared" si="2"/>
        <v>Normal Merchant Day</v>
      </c>
    </row>
    <row r="47" spans="1:15" x14ac:dyDescent="0.3">
      <c r="A47" t="s">
        <v>114</v>
      </c>
      <c r="B47">
        <v>249</v>
      </c>
      <c r="C47">
        <v>2</v>
      </c>
      <c r="D47" s="1">
        <v>46030.352083333331</v>
      </c>
      <c r="E47">
        <v>299</v>
      </c>
      <c r="F47" t="s">
        <v>63</v>
      </c>
      <c r="G47" t="s">
        <v>64</v>
      </c>
      <c r="H47">
        <v>49</v>
      </c>
      <c r="I47" t="str">
        <f>IFERROR(VLOOKUP(C47,Merchants!$A$2:$D$41,2,FALSE),"Merchant not found")</f>
        <v>Merchant_002</v>
      </c>
      <c r="J47" t="str">
        <f>IFERROR(VLOOKUP(C47,Merchants!$A$2:$D$41,3,FALSE),"Merchant not found")</f>
        <v>grocery</v>
      </c>
      <c r="K47" t="str">
        <f>IFERROR(VLOOKUP(C47,Merchants!$A$2:$D$41,4,FALSE),"Merchant not found")</f>
        <v>West</v>
      </c>
      <c r="L47" s="2">
        <f>HLOOKUP(F47,Fee_lookup!$A$2:$E$3,2,FALSE)</f>
        <v>5.0000000000000001E-4</v>
      </c>
      <c r="M47" s="6">
        <f t="shared" si="0"/>
        <v>46030</v>
      </c>
      <c r="N47">
        <f t="shared" si="1"/>
        <v>299</v>
      </c>
      <c r="O47" t="str">
        <f t="shared" si="2"/>
        <v>Normal Merchant Day</v>
      </c>
    </row>
    <row r="48" spans="1:15" x14ac:dyDescent="0.3">
      <c r="A48" t="s">
        <v>115</v>
      </c>
      <c r="B48">
        <v>208</v>
      </c>
      <c r="C48">
        <v>11</v>
      </c>
      <c r="D48" s="1">
        <v>46033.904861111114</v>
      </c>
      <c r="E48">
        <v>4999</v>
      </c>
      <c r="F48" t="s">
        <v>69</v>
      </c>
      <c r="G48" t="s">
        <v>64</v>
      </c>
      <c r="H48">
        <v>59</v>
      </c>
      <c r="I48" t="str">
        <f>IFERROR(VLOOKUP(C48,Merchants!$A$2:$D$41,2,FALSE),"Merchant not found")</f>
        <v>Merchant_011</v>
      </c>
      <c r="J48" t="str">
        <f>IFERROR(VLOOKUP(C48,Merchants!$A$2:$D$41,3,FALSE),"Merchant not found")</f>
        <v>ecommerce</v>
      </c>
      <c r="K48" t="str">
        <f>IFERROR(VLOOKUP(C48,Merchants!$A$2:$D$41,4,FALSE),"Merchant not found")</f>
        <v>North</v>
      </c>
      <c r="L48" s="2">
        <f>HLOOKUP(F48,Fee_lookup!$A$2:$E$3,2,FALSE)</f>
        <v>0.01</v>
      </c>
      <c r="M48" s="6">
        <f t="shared" si="0"/>
        <v>46033</v>
      </c>
      <c r="N48">
        <f t="shared" si="1"/>
        <v>4999</v>
      </c>
      <c r="O48" t="str">
        <f t="shared" si="2"/>
        <v>Normal Merchant Day</v>
      </c>
    </row>
    <row r="49" spans="1:15" x14ac:dyDescent="0.3">
      <c r="A49" t="s">
        <v>116</v>
      </c>
      <c r="B49">
        <v>274</v>
      </c>
      <c r="C49">
        <v>2</v>
      </c>
      <c r="D49" s="1">
        <v>46052.193749999999</v>
      </c>
      <c r="E49">
        <v>299</v>
      </c>
      <c r="F49" t="s">
        <v>66</v>
      </c>
      <c r="G49" t="s">
        <v>64</v>
      </c>
      <c r="H49">
        <v>50</v>
      </c>
      <c r="I49" t="str">
        <f>IFERROR(VLOOKUP(C49,Merchants!$A$2:$D$41,2,FALSE),"Merchant not found")</f>
        <v>Merchant_002</v>
      </c>
      <c r="J49" t="str">
        <f>IFERROR(VLOOKUP(C49,Merchants!$A$2:$D$41,3,FALSE),"Merchant not found")</f>
        <v>grocery</v>
      </c>
      <c r="K49" t="str">
        <f>IFERROR(VLOOKUP(C49,Merchants!$A$2:$D$41,4,FALSE),"Merchant not found")</f>
        <v>West</v>
      </c>
      <c r="L49" s="2">
        <f>HLOOKUP(F49,Fee_lookup!$A$2:$E$3,2,FALSE)</f>
        <v>2.0000000000000001E-4</v>
      </c>
      <c r="M49" s="6">
        <f t="shared" si="0"/>
        <v>46052</v>
      </c>
      <c r="N49">
        <f t="shared" si="1"/>
        <v>299</v>
      </c>
      <c r="O49" t="str">
        <f t="shared" si="2"/>
        <v>Normal Merchant Day</v>
      </c>
    </row>
    <row r="50" spans="1:15" x14ac:dyDescent="0.3">
      <c r="A50" t="s">
        <v>117</v>
      </c>
      <c r="B50">
        <v>14</v>
      </c>
      <c r="C50">
        <v>6</v>
      </c>
      <c r="D50" s="1">
        <v>46041.779166666667</v>
      </c>
      <c r="E50">
        <v>49</v>
      </c>
      <c r="F50" t="s">
        <v>63</v>
      </c>
      <c r="G50" t="s">
        <v>64</v>
      </c>
      <c r="H50">
        <v>82</v>
      </c>
      <c r="I50" t="str">
        <f>IFERROR(VLOOKUP(C50,Merchants!$A$2:$D$41,2,FALSE),"Merchant not found")</f>
        <v>Merchant_006</v>
      </c>
      <c r="J50" t="str">
        <f>IFERROR(VLOOKUP(C50,Merchants!$A$2:$D$41,3,FALSE),"Merchant not found")</f>
        <v>food_delivery</v>
      </c>
      <c r="K50" t="str">
        <f>IFERROR(VLOOKUP(C50,Merchants!$A$2:$D$41,4,FALSE),"Merchant not found")</f>
        <v>South</v>
      </c>
      <c r="L50" s="2">
        <f>HLOOKUP(F50,Fee_lookup!$A$2:$E$3,2,FALSE)</f>
        <v>5.0000000000000001E-4</v>
      </c>
      <c r="M50" s="6">
        <f t="shared" si="0"/>
        <v>46041</v>
      </c>
      <c r="N50">
        <f t="shared" si="1"/>
        <v>49</v>
      </c>
      <c r="O50" t="str">
        <f t="shared" si="2"/>
        <v>Normal Merchant Day</v>
      </c>
    </row>
    <row r="51" spans="1:15" x14ac:dyDescent="0.3">
      <c r="A51" t="s">
        <v>118</v>
      </c>
      <c r="B51">
        <v>237</v>
      </c>
      <c r="C51">
        <v>12</v>
      </c>
      <c r="D51" s="1">
        <v>46036.204861111109</v>
      </c>
      <c r="E51">
        <v>49</v>
      </c>
      <c r="F51" t="s">
        <v>66</v>
      </c>
      <c r="G51" t="s">
        <v>64</v>
      </c>
      <c r="H51">
        <v>6</v>
      </c>
      <c r="I51" t="str">
        <f>IFERROR(VLOOKUP(C51,Merchants!$A$2:$D$41,2,FALSE),"Merchant not found")</f>
        <v>Merchant_012</v>
      </c>
      <c r="J51" t="str">
        <f>IFERROR(VLOOKUP(C51,Merchants!$A$2:$D$41,3,FALSE),"Merchant not found")</f>
        <v>ecommerce</v>
      </c>
      <c r="K51" t="str">
        <f>IFERROR(VLOOKUP(C51,Merchants!$A$2:$D$41,4,FALSE),"Merchant not found")</f>
        <v>East</v>
      </c>
      <c r="L51" s="2">
        <f>HLOOKUP(F51,Fee_lookup!$A$2:$E$3,2,FALSE)</f>
        <v>2.0000000000000001E-4</v>
      </c>
      <c r="M51" s="6">
        <f t="shared" si="0"/>
        <v>46036</v>
      </c>
      <c r="N51">
        <f t="shared" si="1"/>
        <v>548</v>
      </c>
      <c r="O51" t="str">
        <f t="shared" si="2"/>
        <v>Normal Merchant Day</v>
      </c>
    </row>
    <row r="52" spans="1:15" x14ac:dyDescent="0.3">
      <c r="A52" t="s">
        <v>119</v>
      </c>
      <c r="B52">
        <v>109</v>
      </c>
      <c r="C52">
        <v>30</v>
      </c>
      <c r="D52" s="1">
        <v>46031.513888888891</v>
      </c>
      <c r="E52">
        <v>99</v>
      </c>
      <c r="F52" t="s">
        <v>66</v>
      </c>
      <c r="G52" t="s">
        <v>64</v>
      </c>
      <c r="H52">
        <v>41</v>
      </c>
      <c r="I52" t="str">
        <f>IFERROR(VLOOKUP(C52,Merchants!$A$2:$D$41,2,FALSE),"Merchant not found")</f>
        <v>Merchant_030</v>
      </c>
      <c r="J52" t="str">
        <f>IFERROR(VLOOKUP(C52,Merchants!$A$2:$D$41,3,FALSE),"Merchant not found")</f>
        <v>travel</v>
      </c>
      <c r="K52" t="str">
        <f>IFERROR(VLOOKUP(C52,Merchants!$A$2:$D$41,4,FALSE),"Merchant not found")</f>
        <v>West</v>
      </c>
      <c r="L52" s="2">
        <f>HLOOKUP(F52,Fee_lookup!$A$2:$E$3,2,FALSE)</f>
        <v>2.0000000000000001E-4</v>
      </c>
      <c r="M52" s="6">
        <f t="shared" si="0"/>
        <v>46031</v>
      </c>
      <c r="N52">
        <f t="shared" si="1"/>
        <v>99</v>
      </c>
      <c r="O52" t="str">
        <f t="shared" si="2"/>
        <v>Normal Merchant Day</v>
      </c>
    </row>
    <row r="53" spans="1:15" x14ac:dyDescent="0.3">
      <c r="A53" t="s">
        <v>120</v>
      </c>
      <c r="B53">
        <v>216</v>
      </c>
      <c r="C53">
        <v>17</v>
      </c>
      <c r="D53" s="1">
        <v>46033.511805555558</v>
      </c>
      <c r="E53">
        <v>4999</v>
      </c>
      <c r="F53" t="s">
        <v>66</v>
      </c>
      <c r="G53" t="s">
        <v>64</v>
      </c>
      <c r="H53">
        <v>10</v>
      </c>
      <c r="I53" t="str">
        <f>IFERROR(VLOOKUP(C53,Merchants!$A$2:$D$41,2,FALSE),"Merchant not found")</f>
        <v>Merchant_017</v>
      </c>
      <c r="J53" t="str">
        <f>IFERROR(VLOOKUP(C53,Merchants!$A$2:$D$41,3,FALSE),"Merchant not found")</f>
        <v>grocery</v>
      </c>
      <c r="K53" t="str">
        <f>IFERROR(VLOOKUP(C53,Merchants!$A$2:$D$41,4,FALSE),"Merchant not found")</f>
        <v>North</v>
      </c>
      <c r="L53" s="2">
        <f>HLOOKUP(F53,Fee_lookup!$A$2:$E$3,2,FALSE)</f>
        <v>2.0000000000000001E-4</v>
      </c>
      <c r="M53" s="6">
        <f t="shared" si="0"/>
        <v>46033</v>
      </c>
      <c r="N53">
        <f t="shared" si="1"/>
        <v>7998</v>
      </c>
      <c r="O53" t="str">
        <f t="shared" si="2"/>
        <v>High-Value Merchant Day</v>
      </c>
    </row>
    <row r="54" spans="1:15" x14ac:dyDescent="0.3">
      <c r="A54" t="s">
        <v>121</v>
      </c>
      <c r="B54">
        <v>277</v>
      </c>
      <c r="C54">
        <v>4</v>
      </c>
      <c r="D54" s="1">
        <v>46038.032638888886</v>
      </c>
      <c r="E54">
        <v>799</v>
      </c>
      <c r="F54" t="s">
        <v>66</v>
      </c>
      <c r="G54" t="s">
        <v>64</v>
      </c>
      <c r="H54">
        <v>44</v>
      </c>
      <c r="I54" t="str">
        <f>IFERROR(VLOOKUP(C54,Merchants!$A$2:$D$41,2,FALSE),"Merchant not found")</f>
        <v>Merchant_004</v>
      </c>
      <c r="J54" t="str">
        <f>IFERROR(VLOOKUP(C54,Merchants!$A$2:$D$41,3,FALSE),"Merchant not found")</f>
        <v>ecommerce</v>
      </c>
      <c r="K54" t="str">
        <f>IFERROR(VLOOKUP(C54,Merchants!$A$2:$D$41,4,FALSE),"Merchant not found")</f>
        <v>East</v>
      </c>
      <c r="L54" s="2">
        <f>HLOOKUP(F54,Fee_lookup!$A$2:$E$3,2,FALSE)</f>
        <v>2.0000000000000001E-4</v>
      </c>
      <c r="M54" s="6">
        <f t="shared" si="0"/>
        <v>46038</v>
      </c>
      <c r="N54">
        <f t="shared" si="1"/>
        <v>799</v>
      </c>
      <c r="O54" t="str">
        <f t="shared" si="2"/>
        <v>Normal Merchant Day</v>
      </c>
    </row>
    <row r="55" spans="1:15" x14ac:dyDescent="0.3">
      <c r="A55" t="s">
        <v>122</v>
      </c>
      <c r="B55">
        <v>334</v>
      </c>
      <c r="C55">
        <v>3</v>
      </c>
      <c r="D55" s="1">
        <v>46030.836111111108</v>
      </c>
      <c r="E55">
        <v>149</v>
      </c>
      <c r="F55" t="s">
        <v>63</v>
      </c>
      <c r="G55" t="s">
        <v>64</v>
      </c>
      <c r="H55">
        <v>96</v>
      </c>
      <c r="I55" t="str">
        <f>IFERROR(VLOOKUP(C55,Merchants!$A$2:$D$41,2,FALSE),"Merchant not found")</f>
        <v>Merchant_003</v>
      </c>
      <c r="J55" t="str">
        <f>IFERROR(VLOOKUP(C55,Merchants!$A$2:$D$41,3,FALSE),"Merchant not found")</f>
        <v>grocery</v>
      </c>
      <c r="K55" t="str">
        <f>IFERROR(VLOOKUP(C55,Merchants!$A$2:$D$41,4,FALSE),"Merchant not found")</f>
        <v>East</v>
      </c>
      <c r="L55" s="2">
        <f>HLOOKUP(F55,Fee_lookup!$A$2:$E$3,2,FALSE)</f>
        <v>5.0000000000000001E-4</v>
      </c>
      <c r="M55" s="6">
        <f t="shared" si="0"/>
        <v>46030</v>
      </c>
      <c r="N55">
        <f t="shared" si="1"/>
        <v>149</v>
      </c>
      <c r="O55" t="str">
        <f t="shared" si="2"/>
        <v>Normal Merchant Day</v>
      </c>
    </row>
    <row r="56" spans="1:15" x14ac:dyDescent="0.3">
      <c r="A56" t="s">
        <v>123</v>
      </c>
      <c r="B56">
        <v>11</v>
      </c>
      <c r="C56">
        <v>40</v>
      </c>
      <c r="D56" s="1">
        <v>46023.3</v>
      </c>
      <c r="E56">
        <v>299</v>
      </c>
      <c r="F56" t="s">
        <v>66</v>
      </c>
      <c r="G56" t="s">
        <v>64</v>
      </c>
      <c r="H56">
        <v>19</v>
      </c>
      <c r="I56" t="str">
        <f>IFERROR(VLOOKUP(C56,Merchants!$A$2:$D$41,2,FALSE),"Merchant not found")</f>
        <v>Merchant_040</v>
      </c>
      <c r="J56" t="str">
        <f>IFERROR(VLOOKUP(C56,Merchants!$A$2:$D$41,3,FALSE),"Merchant not found")</f>
        <v>entertainment</v>
      </c>
      <c r="K56" t="str">
        <f>IFERROR(VLOOKUP(C56,Merchants!$A$2:$D$41,4,FALSE),"Merchant not found")</f>
        <v>South</v>
      </c>
      <c r="L56" s="2">
        <f>HLOOKUP(F56,Fee_lookup!$A$2:$E$3,2,FALSE)</f>
        <v>2.0000000000000001E-4</v>
      </c>
      <c r="M56" s="6">
        <f t="shared" si="0"/>
        <v>46023</v>
      </c>
      <c r="N56">
        <f t="shared" si="1"/>
        <v>299</v>
      </c>
      <c r="O56" t="str">
        <f t="shared" si="2"/>
        <v>Normal Merchant Day</v>
      </c>
    </row>
    <row r="57" spans="1:15" x14ac:dyDescent="0.3">
      <c r="A57" t="s">
        <v>124</v>
      </c>
      <c r="B57">
        <v>343</v>
      </c>
      <c r="C57">
        <v>8</v>
      </c>
      <c r="D57" s="1">
        <v>46030.1875</v>
      </c>
      <c r="E57">
        <v>99</v>
      </c>
      <c r="F57" t="s">
        <v>66</v>
      </c>
      <c r="G57" t="s">
        <v>64</v>
      </c>
      <c r="H57">
        <v>72</v>
      </c>
      <c r="I57" t="str">
        <f>IFERROR(VLOOKUP(C57,Merchants!$A$2:$D$41,2,FALSE),"Merchant not found")</f>
        <v>Merchant_008</v>
      </c>
      <c r="J57" t="str">
        <f>IFERROR(VLOOKUP(C57,Merchants!$A$2:$D$41,3,FALSE),"Merchant not found")</f>
        <v>food_delivery</v>
      </c>
      <c r="K57" t="str">
        <f>IFERROR(VLOOKUP(C57,Merchants!$A$2:$D$41,4,FALSE),"Merchant not found")</f>
        <v>North</v>
      </c>
      <c r="L57" s="2">
        <f>HLOOKUP(F57,Fee_lookup!$A$2:$E$3,2,FALSE)</f>
        <v>2.0000000000000001E-4</v>
      </c>
      <c r="M57" s="6">
        <f t="shared" si="0"/>
        <v>46030</v>
      </c>
      <c r="N57">
        <f t="shared" si="1"/>
        <v>99</v>
      </c>
      <c r="O57" t="str">
        <f t="shared" si="2"/>
        <v>Normal Merchant Day</v>
      </c>
    </row>
    <row r="58" spans="1:15" x14ac:dyDescent="0.3">
      <c r="A58" t="s">
        <v>125</v>
      </c>
      <c r="B58">
        <v>132</v>
      </c>
      <c r="C58">
        <v>24</v>
      </c>
      <c r="D58" s="1">
        <v>46029.613888888889</v>
      </c>
      <c r="E58">
        <v>299</v>
      </c>
      <c r="F58" t="s">
        <v>63</v>
      </c>
      <c r="G58" t="s">
        <v>64</v>
      </c>
      <c r="H58">
        <v>21</v>
      </c>
      <c r="I58" t="str">
        <f>IFERROR(VLOOKUP(C58,Merchants!$A$2:$D$41,2,FALSE),"Merchant not found")</f>
        <v>Merchant_024</v>
      </c>
      <c r="J58" t="str">
        <f>IFERROR(VLOOKUP(C58,Merchants!$A$2:$D$41,3,FALSE),"Merchant not found")</f>
        <v>grocery</v>
      </c>
      <c r="K58" t="str">
        <f>IFERROR(VLOOKUP(C58,Merchants!$A$2:$D$41,4,FALSE),"Merchant not found")</f>
        <v>North</v>
      </c>
      <c r="L58" s="2">
        <f>HLOOKUP(F58,Fee_lookup!$A$2:$E$3,2,FALSE)</f>
        <v>5.0000000000000001E-4</v>
      </c>
      <c r="M58" s="6">
        <f t="shared" si="0"/>
        <v>46029</v>
      </c>
      <c r="N58">
        <f t="shared" si="1"/>
        <v>299</v>
      </c>
      <c r="O58" t="str">
        <f t="shared" si="2"/>
        <v>Normal Merchant Day</v>
      </c>
    </row>
    <row r="59" spans="1:15" x14ac:dyDescent="0.3">
      <c r="A59" t="s">
        <v>126</v>
      </c>
      <c r="B59">
        <v>59</v>
      </c>
      <c r="C59">
        <v>11</v>
      </c>
      <c r="D59" s="1">
        <v>46042.824305555558</v>
      </c>
      <c r="E59">
        <v>299</v>
      </c>
      <c r="F59" t="s">
        <v>66</v>
      </c>
      <c r="G59" t="s">
        <v>64</v>
      </c>
      <c r="H59">
        <v>39</v>
      </c>
      <c r="I59" t="str">
        <f>IFERROR(VLOOKUP(C59,Merchants!$A$2:$D$41,2,FALSE),"Merchant not found")</f>
        <v>Merchant_011</v>
      </c>
      <c r="J59" t="str">
        <f>IFERROR(VLOOKUP(C59,Merchants!$A$2:$D$41,3,FALSE),"Merchant not found")</f>
        <v>ecommerce</v>
      </c>
      <c r="K59" t="str">
        <f>IFERROR(VLOOKUP(C59,Merchants!$A$2:$D$41,4,FALSE),"Merchant not found")</f>
        <v>North</v>
      </c>
      <c r="L59" s="2">
        <f>HLOOKUP(F59,Fee_lookup!$A$2:$E$3,2,FALSE)</f>
        <v>2.0000000000000001E-4</v>
      </c>
      <c r="M59" s="6">
        <f t="shared" si="0"/>
        <v>46042</v>
      </c>
      <c r="N59">
        <f t="shared" si="1"/>
        <v>299</v>
      </c>
      <c r="O59" t="str">
        <f t="shared" si="2"/>
        <v>Normal Merchant Day</v>
      </c>
    </row>
    <row r="60" spans="1:15" x14ac:dyDescent="0.3">
      <c r="A60" t="s">
        <v>127</v>
      </c>
      <c r="B60">
        <v>160</v>
      </c>
      <c r="C60">
        <v>37</v>
      </c>
      <c r="D60" s="1">
        <v>46026.750694444447</v>
      </c>
      <c r="E60">
        <v>49</v>
      </c>
      <c r="F60" t="s">
        <v>63</v>
      </c>
      <c r="G60" t="s">
        <v>64</v>
      </c>
      <c r="H60">
        <v>86</v>
      </c>
      <c r="I60" t="str">
        <f>IFERROR(VLOOKUP(C60,Merchants!$A$2:$D$41,2,FALSE),"Merchant not found")</f>
        <v>Merchant_037</v>
      </c>
      <c r="J60" t="str">
        <f>IFERROR(VLOOKUP(C60,Merchants!$A$2:$D$41,3,FALSE),"Merchant not found")</f>
        <v>entertainment</v>
      </c>
      <c r="K60" t="str">
        <f>IFERROR(VLOOKUP(C60,Merchants!$A$2:$D$41,4,FALSE),"Merchant not found")</f>
        <v>South</v>
      </c>
      <c r="L60" s="2">
        <f>HLOOKUP(F60,Fee_lookup!$A$2:$E$3,2,FALSE)</f>
        <v>5.0000000000000001E-4</v>
      </c>
      <c r="M60" s="6">
        <f t="shared" si="0"/>
        <v>46026</v>
      </c>
      <c r="N60">
        <f t="shared" si="1"/>
        <v>49</v>
      </c>
      <c r="O60" t="str">
        <f t="shared" si="2"/>
        <v>Normal Merchant Day</v>
      </c>
    </row>
    <row r="61" spans="1:15" x14ac:dyDescent="0.3">
      <c r="A61" t="s">
        <v>128</v>
      </c>
      <c r="B61">
        <v>102</v>
      </c>
      <c r="C61">
        <v>5</v>
      </c>
      <c r="D61" s="1">
        <v>46052.517361111109</v>
      </c>
      <c r="E61">
        <v>2999</v>
      </c>
      <c r="F61" t="s">
        <v>66</v>
      </c>
      <c r="G61" t="s">
        <v>64</v>
      </c>
      <c r="H61">
        <v>75</v>
      </c>
      <c r="I61" t="str">
        <f>IFERROR(VLOOKUP(C61,Merchants!$A$2:$D$41,2,FALSE),"Merchant not found")</f>
        <v>Merchant_005</v>
      </c>
      <c r="J61" t="str">
        <f>IFERROR(VLOOKUP(C61,Merchants!$A$2:$D$41,3,FALSE),"Merchant not found")</f>
        <v>recharge</v>
      </c>
      <c r="K61" t="str">
        <f>IFERROR(VLOOKUP(C61,Merchants!$A$2:$D$41,4,FALSE),"Merchant not found")</f>
        <v>South</v>
      </c>
      <c r="L61" s="2">
        <f>HLOOKUP(F61,Fee_lookup!$A$2:$E$3,2,FALSE)</f>
        <v>2.0000000000000001E-4</v>
      </c>
      <c r="M61" s="6">
        <f t="shared" si="0"/>
        <v>46052</v>
      </c>
      <c r="N61">
        <f t="shared" si="1"/>
        <v>2999</v>
      </c>
      <c r="O61" t="str">
        <f t="shared" si="2"/>
        <v>Normal Merchant Day</v>
      </c>
    </row>
    <row r="62" spans="1:15" x14ac:dyDescent="0.3">
      <c r="A62" t="s">
        <v>129</v>
      </c>
      <c r="B62">
        <v>53</v>
      </c>
      <c r="C62">
        <v>20</v>
      </c>
      <c r="D62" s="1">
        <v>46045.84375</v>
      </c>
      <c r="E62">
        <v>49</v>
      </c>
      <c r="F62" t="s">
        <v>69</v>
      </c>
      <c r="G62" t="s">
        <v>64</v>
      </c>
      <c r="H62">
        <v>87</v>
      </c>
      <c r="I62" t="str">
        <f>IFERROR(VLOOKUP(C62,Merchants!$A$2:$D$41,2,FALSE),"Merchant not found")</f>
        <v>Merchant_020</v>
      </c>
      <c r="J62" t="str">
        <f>IFERROR(VLOOKUP(C62,Merchants!$A$2:$D$41,3,FALSE),"Merchant not found")</f>
        <v>food_delivery</v>
      </c>
      <c r="K62" t="str">
        <f>IFERROR(VLOOKUP(C62,Merchants!$A$2:$D$41,4,FALSE),"Merchant not found")</f>
        <v>East</v>
      </c>
      <c r="L62" s="2">
        <f>HLOOKUP(F62,Fee_lookup!$A$2:$E$3,2,FALSE)</f>
        <v>0.01</v>
      </c>
      <c r="M62" s="6">
        <f t="shared" si="0"/>
        <v>46045</v>
      </c>
      <c r="N62">
        <f t="shared" si="1"/>
        <v>49</v>
      </c>
      <c r="O62" t="str">
        <f t="shared" si="2"/>
        <v>Normal Merchant Day</v>
      </c>
    </row>
    <row r="63" spans="1:15" x14ac:dyDescent="0.3">
      <c r="A63" t="s">
        <v>130</v>
      </c>
      <c r="B63">
        <v>290</v>
      </c>
      <c r="C63">
        <v>3</v>
      </c>
      <c r="D63" s="1">
        <v>46042.159722222219</v>
      </c>
      <c r="E63">
        <v>99</v>
      </c>
      <c r="F63" t="s">
        <v>63</v>
      </c>
      <c r="G63" t="s">
        <v>64</v>
      </c>
      <c r="H63">
        <v>44</v>
      </c>
      <c r="I63" t="str">
        <f>IFERROR(VLOOKUP(C63,Merchants!$A$2:$D$41,2,FALSE),"Merchant not found")</f>
        <v>Merchant_003</v>
      </c>
      <c r="J63" t="str">
        <f>IFERROR(VLOOKUP(C63,Merchants!$A$2:$D$41,3,FALSE),"Merchant not found")</f>
        <v>grocery</v>
      </c>
      <c r="K63" t="str">
        <f>IFERROR(VLOOKUP(C63,Merchants!$A$2:$D$41,4,FALSE),"Merchant not found")</f>
        <v>East</v>
      </c>
      <c r="L63" s="2">
        <f>HLOOKUP(F63,Fee_lookup!$A$2:$E$3,2,FALSE)</f>
        <v>5.0000000000000001E-4</v>
      </c>
      <c r="M63" s="6">
        <f t="shared" si="0"/>
        <v>46042</v>
      </c>
      <c r="N63">
        <f t="shared" si="1"/>
        <v>99</v>
      </c>
      <c r="O63" t="str">
        <f t="shared" si="2"/>
        <v>Normal Merchant Day</v>
      </c>
    </row>
    <row r="64" spans="1:15" x14ac:dyDescent="0.3">
      <c r="A64" t="s">
        <v>131</v>
      </c>
      <c r="B64">
        <v>190</v>
      </c>
      <c r="C64">
        <v>5</v>
      </c>
      <c r="D64" s="1">
        <v>46040.570833333331</v>
      </c>
      <c r="E64">
        <v>299</v>
      </c>
      <c r="F64" t="s">
        <v>66</v>
      </c>
      <c r="G64" t="s">
        <v>64</v>
      </c>
      <c r="H64">
        <v>64</v>
      </c>
      <c r="I64" t="str">
        <f>IFERROR(VLOOKUP(C64,Merchants!$A$2:$D$41,2,FALSE),"Merchant not found")</f>
        <v>Merchant_005</v>
      </c>
      <c r="J64" t="str">
        <f>IFERROR(VLOOKUP(C64,Merchants!$A$2:$D$41,3,FALSE),"Merchant not found")</f>
        <v>recharge</v>
      </c>
      <c r="K64" t="str">
        <f>IFERROR(VLOOKUP(C64,Merchants!$A$2:$D$41,4,FALSE),"Merchant not found")</f>
        <v>South</v>
      </c>
      <c r="L64" s="2">
        <f>HLOOKUP(F64,Fee_lookup!$A$2:$E$3,2,FALSE)</f>
        <v>2.0000000000000001E-4</v>
      </c>
      <c r="M64" s="6">
        <f t="shared" si="0"/>
        <v>46040</v>
      </c>
      <c r="N64">
        <f t="shared" si="1"/>
        <v>299</v>
      </c>
      <c r="O64" t="str">
        <f t="shared" si="2"/>
        <v>Normal Merchant Day</v>
      </c>
    </row>
    <row r="65" spans="1:15" x14ac:dyDescent="0.3">
      <c r="A65" t="s">
        <v>132</v>
      </c>
      <c r="B65">
        <v>216</v>
      </c>
      <c r="C65">
        <v>32</v>
      </c>
      <c r="D65" s="1">
        <v>46043.416666666664</v>
      </c>
      <c r="E65">
        <v>49</v>
      </c>
      <c r="F65" t="s">
        <v>78</v>
      </c>
      <c r="G65" t="s">
        <v>64</v>
      </c>
      <c r="H65">
        <v>13</v>
      </c>
      <c r="I65" t="str">
        <f>IFERROR(VLOOKUP(C65,Merchants!$A$2:$D$41,2,FALSE),"Merchant not found")</f>
        <v>Merchant_032</v>
      </c>
      <c r="J65" t="str">
        <f>IFERROR(VLOOKUP(C65,Merchants!$A$2:$D$41,3,FALSE),"Merchant not found")</f>
        <v>food_delivery</v>
      </c>
      <c r="K65" t="str">
        <f>IFERROR(VLOOKUP(C65,Merchants!$A$2:$D$41,4,FALSE),"Merchant not found")</f>
        <v>West</v>
      </c>
      <c r="L65" s="2">
        <f>HLOOKUP(F65,Fee_lookup!$A$2:$E$3,2,FALSE)</f>
        <v>1.4999999999999999E-2</v>
      </c>
      <c r="M65" s="6">
        <f t="shared" si="0"/>
        <v>46043</v>
      </c>
      <c r="N65">
        <f t="shared" si="1"/>
        <v>348</v>
      </c>
      <c r="O65" t="str">
        <f t="shared" si="2"/>
        <v>Normal Merchant Day</v>
      </c>
    </row>
    <row r="66" spans="1:15" x14ac:dyDescent="0.3">
      <c r="A66" t="s">
        <v>133</v>
      </c>
      <c r="B66">
        <v>236</v>
      </c>
      <c r="C66">
        <v>10</v>
      </c>
      <c r="D66" s="1">
        <v>46036.486111111109</v>
      </c>
      <c r="E66">
        <v>499</v>
      </c>
      <c r="F66" t="s">
        <v>66</v>
      </c>
      <c r="G66" t="s">
        <v>64</v>
      </c>
      <c r="H66">
        <v>55</v>
      </c>
      <c r="I66" t="str">
        <f>IFERROR(VLOOKUP(C66,Merchants!$A$2:$D$41,2,FALSE),"Merchant not found")</f>
        <v>Merchant_010</v>
      </c>
      <c r="J66" t="str">
        <f>IFERROR(VLOOKUP(C66,Merchants!$A$2:$D$41,3,FALSE),"Merchant not found")</f>
        <v>grocery</v>
      </c>
      <c r="K66" t="str">
        <f>IFERROR(VLOOKUP(C66,Merchants!$A$2:$D$41,4,FALSE),"Merchant not found")</f>
        <v>West</v>
      </c>
      <c r="L66" s="2">
        <f>HLOOKUP(F66,Fee_lookup!$A$2:$E$3,2,FALSE)</f>
        <v>2.0000000000000001E-4</v>
      </c>
      <c r="M66" s="6">
        <f t="shared" si="0"/>
        <v>46036</v>
      </c>
      <c r="N66">
        <f t="shared" si="1"/>
        <v>499</v>
      </c>
      <c r="O66" t="str">
        <f t="shared" si="2"/>
        <v>Normal Merchant Day</v>
      </c>
    </row>
    <row r="67" spans="1:15" x14ac:dyDescent="0.3">
      <c r="A67" t="s">
        <v>134</v>
      </c>
      <c r="B67">
        <v>334</v>
      </c>
      <c r="C67">
        <v>18</v>
      </c>
      <c r="D67" s="1">
        <v>46028.981249999997</v>
      </c>
      <c r="E67">
        <v>499</v>
      </c>
      <c r="F67" t="s">
        <v>78</v>
      </c>
      <c r="G67" t="s">
        <v>64</v>
      </c>
      <c r="H67">
        <v>78</v>
      </c>
      <c r="I67" t="str">
        <f>IFERROR(VLOOKUP(C67,Merchants!$A$2:$D$41,2,FALSE),"Merchant not found")</f>
        <v>Merchant_018</v>
      </c>
      <c r="J67" t="str">
        <f>IFERROR(VLOOKUP(C67,Merchants!$A$2:$D$41,3,FALSE),"Merchant not found")</f>
        <v>grocery</v>
      </c>
      <c r="K67" t="str">
        <f>IFERROR(VLOOKUP(C67,Merchants!$A$2:$D$41,4,FALSE),"Merchant not found")</f>
        <v>West</v>
      </c>
      <c r="L67" s="2">
        <f>HLOOKUP(F67,Fee_lookup!$A$2:$E$3,2,FALSE)</f>
        <v>1.4999999999999999E-2</v>
      </c>
      <c r="M67" s="6">
        <f t="shared" ref="M67:M130" si="3">INT(D67)</f>
        <v>46028</v>
      </c>
      <c r="N67">
        <f t="shared" ref="N67:N130" si="4">SUMIFS($E:$E,$C:$C,C67,$M:$M,M67)</f>
        <v>499</v>
      </c>
      <c r="O67" t="str">
        <f t="shared" ref="O67:O130" si="5">IF(AND(N67&gt;5000,K67&lt;&gt;"East"),"High-Value Merchant Day","Normal Merchant Day")</f>
        <v>Normal Merchant Day</v>
      </c>
    </row>
    <row r="68" spans="1:15" x14ac:dyDescent="0.3">
      <c r="A68" t="s">
        <v>135</v>
      </c>
      <c r="B68">
        <v>248</v>
      </c>
      <c r="C68">
        <v>30</v>
      </c>
      <c r="D68" s="1">
        <v>46048.742361111108</v>
      </c>
      <c r="E68">
        <v>799</v>
      </c>
      <c r="F68" t="s">
        <v>63</v>
      </c>
      <c r="G68" t="s">
        <v>64</v>
      </c>
      <c r="H68">
        <v>55</v>
      </c>
      <c r="I68" t="str">
        <f>IFERROR(VLOOKUP(C68,Merchants!$A$2:$D$41,2,FALSE),"Merchant not found")</f>
        <v>Merchant_030</v>
      </c>
      <c r="J68" t="str">
        <f>IFERROR(VLOOKUP(C68,Merchants!$A$2:$D$41,3,FALSE),"Merchant not found")</f>
        <v>travel</v>
      </c>
      <c r="K68" t="str">
        <f>IFERROR(VLOOKUP(C68,Merchants!$A$2:$D$41,4,FALSE),"Merchant not found")</f>
        <v>West</v>
      </c>
      <c r="L68" s="2">
        <f>HLOOKUP(F68,Fee_lookup!$A$2:$E$3,2,FALSE)</f>
        <v>5.0000000000000001E-4</v>
      </c>
      <c r="M68" s="6">
        <f t="shared" si="3"/>
        <v>46048</v>
      </c>
      <c r="N68">
        <f t="shared" si="4"/>
        <v>799</v>
      </c>
      <c r="O68" t="str">
        <f t="shared" si="5"/>
        <v>Normal Merchant Day</v>
      </c>
    </row>
    <row r="69" spans="1:15" x14ac:dyDescent="0.3">
      <c r="A69" t="s">
        <v>136</v>
      </c>
      <c r="B69">
        <v>138</v>
      </c>
      <c r="C69">
        <v>21</v>
      </c>
      <c r="D69" s="1">
        <v>46049.984027777777</v>
      </c>
      <c r="E69">
        <v>49</v>
      </c>
      <c r="F69" t="s">
        <v>78</v>
      </c>
      <c r="G69" t="s">
        <v>64</v>
      </c>
      <c r="H69">
        <v>31</v>
      </c>
      <c r="I69" t="str">
        <f>IFERROR(VLOOKUP(C69,Merchants!$A$2:$D$41,2,FALSE),"Merchant not found")</f>
        <v>Merchant_021</v>
      </c>
      <c r="J69" t="str">
        <f>IFERROR(VLOOKUP(C69,Merchants!$A$2:$D$41,3,FALSE),"Merchant not found")</f>
        <v>food_delivery</v>
      </c>
      <c r="K69" t="str">
        <f>IFERROR(VLOOKUP(C69,Merchants!$A$2:$D$41,4,FALSE),"Merchant not found")</f>
        <v>East</v>
      </c>
      <c r="L69" s="2">
        <f>HLOOKUP(F69,Fee_lookup!$A$2:$E$3,2,FALSE)</f>
        <v>1.4999999999999999E-2</v>
      </c>
      <c r="M69" s="6">
        <f t="shared" si="3"/>
        <v>46049</v>
      </c>
      <c r="N69">
        <f t="shared" si="4"/>
        <v>49</v>
      </c>
      <c r="O69" t="str">
        <f t="shared" si="5"/>
        <v>Normal Merchant Day</v>
      </c>
    </row>
    <row r="70" spans="1:15" x14ac:dyDescent="0.3">
      <c r="A70" t="s">
        <v>137</v>
      </c>
      <c r="B70">
        <v>231</v>
      </c>
      <c r="C70">
        <v>16</v>
      </c>
      <c r="D70" s="1">
        <v>46049.095138888886</v>
      </c>
      <c r="E70">
        <v>49</v>
      </c>
      <c r="F70" t="s">
        <v>66</v>
      </c>
      <c r="G70" t="s">
        <v>64</v>
      </c>
      <c r="H70">
        <v>96</v>
      </c>
      <c r="I70" t="str">
        <f>IFERROR(VLOOKUP(C70,Merchants!$A$2:$D$41,2,FALSE),"Merchant not found")</f>
        <v>Merchant_016</v>
      </c>
      <c r="J70" t="str">
        <f>IFERROR(VLOOKUP(C70,Merchants!$A$2:$D$41,3,FALSE),"Merchant not found")</f>
        <v>bill_payment</v>
      </c>
      <c r="K70" t="str">
        <f>IFERROR(VLOOKUP(C70,Merchants!$A$2:$D$41,4,FALSE),"Merchant not found")</f>
        <v>West</v>
      </c>
      <c r="L70" s="2">
        <f>HLOOKUP(F70,Fee_lookup!$A$2:$E$3,2,FALSE)</f>
        <v>2.0000000000000001E-4</v>
      </c>
      <c r="M70" s="6">
        <f t="shared" si="3"/>
        <v>46049</v>
      </c>
      <c r="N70">
        <f t="shared" si="4"/>
        <v>348</v>
      </c>
      <c r="O70" t="str">
        <f t="shared" si="5"/>
        <v>Normal Merchant Day</v>
      </c>
    </row>
    <row r="71" spans="1:15" x14ac:dyDescent="0.3">
      <c r="A71" t="s">
        <v>138</v>
      </c>
      <c r="B71">
        <v>343</v>
      </c>
      <c r="C71">
        <v>25</v>
      </c>
      <c r="D71" s="1">
        <v>46037.777083333334</v>
      </c>
      <c r="E71">
        <v>49</v>
      </c>
      <c r="F71" t="s">
        <v>66</v>
      </c>
      <c r="G71" t="s">
        <v>64</v>
      </c>
      <c r="H71">
        <v>43</v>
      </c>
      <c r="I71" t="str">
        <f>IFERROR(VLOOKUP(C71,Merchants!$A$2:$D$41,2,FALSE),"Merchant not found")</f>
        <v>Merchant_025</v>
      </c>
      <c r="J71" t="str">
        <f>IFERROR(VLOOKUP(C71,Merchants!$A$2:$D$41,3,FALSE),"Merchant not found")</f>
        <v>travel</v>
      </c>
      <c r="K71" t="str">
        <f>IFERROR(VLOOKUP(C71,Merchants!$A$2:$D$41,4,FALSE),"Merchant not found")</f>
        <v>South</v>
      </c>
      <c r="L71" s="2">
        <f>HLOOKUP(F71,Fee_lookup!$A$2:$E$3,2,FALSE)</f>
        <v>2.0000000000000001E-4</v>
      </c>
      <c r="M71" s="6">
        <f t="shared" si="3"/>
        <v>46037</v>
      </c>
      <c r="N71">
        <f t="shared" si="4"/>
        <v>49</v>
      </c>
      <c r="O71" t="str">
        <f t="shared" si="5"/>
        <v>Normal Merchant Day</v>
      </c>
    </row>
    <row r="72" spans="1:15" x14ac:dyDescent="0.3">
      <c r="A72" t="s">
        <v>139</v>
      </c>
      <c r="B72">
        <v>167</v>
      </c>
      <c r="C72">
        <v>12</v>
      </c>
      <c r="D72" s="1">
        <v>46023.662499999999</v>
      </c>
      <c r="E72">
        <v>499</v>
      </c>
      <c r="F72" t="s">
        <v>63</v>
      </c>
      <c r="G72" t="s">
        <v>64</v>
      </c>
      <c r="H72">
        <v>62</v>
      </c>
      <c r="I72" t="str">
        <f>IFERROR(VLOOKUP(C72,Merchants!$A$2:$D$41,2,FALSE),"Merchant not found")</f>
        <v>Merchant_012</v>
      </c>
      <c r="J72" t="str">
        <f>IFERROR(VLOOKUP(C72,Merchants!$A$2:$D$41,3,FALSE),"Merchant not found")</f>
        <v>ecommerce</v>
      </c>
      <c r="K72" t="str">
        <f>IFERROR(VLOOKUP(C72,Merchants!$A$2:$D$41,4,FALSE),"Merchant not found")</f>
        <v>East</v>
      </c>
      <c r="L72" s="2">
        <f>HLOOKUP(F72,Fee_lookup!$A$2:$E$3,2,FALSE)</f>
        <v>5.0000000000000001E-4</v>
      </c>
      <c r="M72" s="6">
        <f t="shared" si="3"/>
        <v>46023</v>
      </c>
      <c r="N72">
        <f t="shared" si="4"/>
        <v>548</v>
      </c>
      <c r="O72" t="str">
        <f t="shared" si="5"/>
        <v>Normal Merchant Day</v>
      </c>
    </row>
    <row r="73" spans="1:15" x14ac:dyDescent="0.3">
      <c r="A73" t="s">
        <v>140</v>
      </c>
      <c r="B73">
        <v>133</v>
      </c>
      <c r="C73">
        <v>22</v>
      </c>
      <c r="D73" s="1">
        <v>46029.493750000001</v>
      </c>
      <c r="E73">
        <v>499</v>
      </c>
      <c r="F73" t="s">
        <v>66</v>
      </c>
      <c r="G73" t="s">
        <v>64</v>
      </c>
      <c r="H73">
        <v>35</v>
      </c>
      <c r="I73" t="str">
        <f>IFERROR(VLOOKUP(C73,Merchants!$A$2:$D$41,2,FALSE),"Merchant not found")</f>
        <v>Merchant_022</v>
      </c>
      <c r="J73" t="str">
        <f>IFERROR(VLOOKUP(C73,Merchants!$A$2:$D$41,3,FALSE),"Merchant not found")</f>
        <v>travel</v>
      </c>
      <c r="K73" t="str">
        <f>IFERROR(VLOOKUP(C73,Merchants!$A$2:$D$41,4,FALSE),"Merchant not found")</f>
        <v>South</v>
      </c>
      <c r="L73" s="2">
        <f>HLOOKUP(F73,Fee_lookup!$A$2:$E$3,2,FALSE)</f>
        <v>2.0000000000000001E-4</v>
      </c>
      <c r="M73" s="6">
        <f t="shared" si="3"/>
        <v>46029</v>
      </c>
      <c r="N73">
        <f t="shared" si="4"/>
        <v>499</v>
      </c>
      <c r="O73" t="str">
        <f t="shared" si="5"/>
        <v>Normal Merchant Day</v>
      </c>
    </row>
    <row r="74" spans="1:15" x14ac:dyDescent="0.3">
      <c r="A74" t="s">
        <v>141</v>
      </c>
      <c r="B74">
        <v>142</v>
      </c>
      <c r="C74">
        <v>36</v>
      </c>
      <c r="D74" s="1">
        <v>46051.822222222225</v>
      </c>
      <c r="E74">
        <v>799</v>
      </c>
      <c r="F74" t="s">
        <v>63</v>
      </c>
      <c r="G74" t="s">
        <v>64</v>
      </c>
      <c r="H74">
        <v>1</v>
      </c>
      <c r="I74" t="str">
        <f>IFERROR(VLOOKUP(C74,Merchants!$A$2:$D$41,2,FALSE),"Merchant not found")</f>
        <v>Merchant_036</v>
      </c>
      <c r="J74" t="str">
        <f>IFERROR(VLOOKUP(C74,Merchants!$A$2:$D$41,3,FALSE),"Merchant not found")</f>
        <v>entertainment</v>
      </c>
      <c r="K74" t="str">
        <f>IFERROR(VLOOKUP(C74,Merchants!$A$2:$D$41,4,FALSE),"Merchant not found")</f>
        <v>East</v>
      </c>
      <c r="L74" s="2">
        <f>HLOOKUP(F74,Fee_lookup!$A$2:$E$3,2,FALSE)</f>
        <v>5.0000000000000001E-4</v>
      </c>
      <c r="M74" s="6">
        <f t="shared" si="3"/>
        <v>46051</v>
      </c>
      <c r="N74">
        <f t="shared" si="4"/>
        <v>799</v>
      </c>
      <c r="O74" t="str">
        <f t="shared" si="5"/>
        <v>Normal Merchant Day</v>
      </c>
    </row>
    <row r="75" spans="1:15" x14ac:dyDescent="0.3">
      <c r="A75" t="s">
        <v>142</v>
      </c>
      <c r="B75">
        <v>124</v>
      </c>
      <c r="C75">
        <v>27</v>
      </c>
      <c r="D75" s="1">
        <v>46039.253472222219</v>
      </c>
      <c r="E75">
        <v>499</v>
      </c>
      <c r="F75" t="s">
        <v>63</v>
      </c>
      <c r="G75" t="s">
        <v>64</v>
      </c>
      <c r="H75">
        <v>62</v>
      </c>
      <c r="I75" t="str">
        <f>IFERROR(VLOOKUP(C75,Merchants!$A$2:$D$41,2,FALSE),"Merchant not found")</f>
        <v>Merchant_027</v>
      </c>
      <c r="J75" t="str">
        <f>IFERROR(VLOOKUP(C75,Merchants!$A$2:$D$41,3,FALSE),"Merchant not found")</f>
        <v>ecommerce</v>
      </c>
      <c r="K75" t="str">
        <f>IFERROR(VLOOKUP(C75,Merchants!$A$2:$D$41,4,FALSE),"Merchant not found")</f>
        <v>North</v>
      </c>
      <c r="L75" s="2">
        <f>HLOOKUP(F75,Fee_lookup!$A$2:$E$3,2,FALSE)</f>
        <v>5.0000000000000001E-4</v>
      </c>
      <c r="M75" s="6">
        <f t="shared" si="3"/>
        <v>46039</v>
      </c>
      <c r="N75">
        <f t="shared" si="4"/>
        <v>1597</v>
      </c>
      <c r="O75" t="str">
        <f t="shared" si="5"/>
        <v>Normal Merchant Day</v>
      </c>
    </row>
    <row r="76" spans="1:15" x14ac:dyDescent="0.3">
      <c r="A76" t="s">
        <v>143</v>
      </c>
      <c r="B76">
        <v>244</v>
      </c>
      <c r="C76">
        <v>32</v>
      </c>
      <c r="D76" s="1">
        <v>46040.322222222225</v>
      </c>
      <c r="E76">
        <v>149</v>
      </c>
      <c r="F76" t="s">
        <v>66</v>
      </c>
      <c r="G76" t="s">
        <v>64</v>
      </c>
      <c r="H76">
        <v>57</v>
      </c>
      <c r="I76" t="str">
        <f>IFERROR(VLOOKUP(C76,Merchants!$A$2:$D$41,2,FALSE),"Merchant not found")</f>
        <v>Merchant_032</v>
      </c>
      <c r="J76" t="str">
        <f>IFERROR(VLOOKUP(C76,Merchants!$A$2:$D$41,3,FALSE),"Merchant not found")</f>
        <v>food_delivery</v>
      </c>
      <c r="K76" t="str">
        <f>IFERROR(VLOOKUP(C76,Merchants!$A$2:$D$41,4,FALSE),"Merchant not found")</f>
        <v>West</v>
      </c>
      <c r="L76" s="2">
        <f>HLOOKUP(F76,Fee_lookup!$A$2:$E$3,2,FALSE)</f>
        <v>2.0000000000000001E-4</v>
      </c>
      <c r="M76" s="6">
        <f t="shared" si="3"/>
        <v>46040</v>
      </c>
      <c r="N76">
        <f t="shared" si="4"/>
        <v>149</v>
      </c>
      <c r="O76" t="str">
        <f t="shared" si="5"/>
        <v>Normal Merchant Day</v>
      </c>
    </row>
    <row r="77" spans="1:15" x14ac:dyDescent="0.3">
      <c r="A77" t="s">
        <v>144</v>
      </c>
      <c r="B77">
        <v>151</v>
      </c>
      <c r="C77">
        <v>15</v>
      </c>
      <c r="D77" s="1">
        <v>46048.003472222219</v>
      </c>
      <c r="E77">
        <v>4999</v>
      </c>
      <c r="F77" t="s">
        <v>66</v>
      </c>
      <c r="G77" t="s">
        <v>64</v>
      </c>
      <c r="H77">
        <v>51</v>
      </c>
      <c r="I77" t="str">
        <f>IFERROR(VLOOKUP(C77,Merchants!$A$2:$D$41,2,FALSE),"Merchant not found")</f>
        <v>Merchant_015</v>
      </c>
      <c r="J77" t="str">
        <f>IFERROR(VLOOKUP(C77,Merchants!$A$2:$D$41,3,FALSE),"Merchant not found")</f>
        <v>travel</v>
      </c>
      <c r="K77" t="str">
        <f>IFERROR(VLOOKUP(C77,Merchants!$A$2:$D$41,4,FALSE),"Merchant not found")</f>
        <v>North</v>
      </c>
      <c r="L77" s="2">
        <f>HLOOKUP(F77,Fee_lookup!$A$2:$E$3,2,FALSE)</f>
        <v>2.0000000000000001E-4</v>
      </c>
      <c r="M77" s="6">
        <f t="shared" si="3"/>
        <v>46048</v>
      </c>
      <c r="N77">
        <f t="shared" si="4"/>
        <v>4999</v>
      </c>
      <c r="O77" t="str">
        <f t="shared" si="5"/>
        <v>Normal Merchant Day</v>
      </c>
    </row>
    <row r="78" spans="1:15" x14ac:dyDescent="0.3">
      <c r="A78" t="s">
        <v>145</v>
      </c>
      <c r="B78">
        <v>340</v>
      </c>
      <c r="C78">
        <v>38</v>
      </c>
      <c r="D78" s="1">
        <v>46045.304861111108</v>
      </c>
      <c r="E78">
        <v>499</v>
      </c>
      <c r="F78" t="s">
        <v>78</v>
      </c>
      <c r="G78" t="s">
        <v>64</v>
      </c>
      <c r="H78">
        <v>47</v>
      </c>
      <c r="I78" t="str">
        <f>IFERROR(VLOOKUP(C78,Merchants!$A$2:$D$41,2,FALSE),"Merchant not found")</f>
        <v>Merchant_038</v>
      </c>
      <c r="J78" t="str">
        <f>IFERROR(VLOOKUP(C78,Merchants!$A$2:$D$41,3,FALSE),"Merchant not found")</f>
        <v>grocery</v>
      </c>
      <c r="K78" t="str">
        <f>IFERROR(VLOOKUP(C78,Merchants!$A$2:$D$41,4,FALSE),"Merchant not found")</f>
        <v>East</v>
      </c>
      <c r="L78" s="2">
        <f>HLOOKUP(F78,Fee_lookup!$A$2:$E$3,2,FALSE)</f>
        <v>1.4999999999999999E-2</v>
      </c>
      <c r="M78" s="6">
        <f t="shared" si="3"/>
        <v>46045</v>
      </c>
      <c r="N78">
        <f t="shared" si="4"/>
        <v>499</v>
      </c>
      <c r="O78" t="str">
        <f t="shared" si="5"/>
        <v>Normal Merchant Day</v>
      </c>
    </row>
    <row r="79" spans="1:15" x14ac:dyDescent="0.3">
      <c r="A79" t="s">
        <v>146</v>
      </c>
      <c r="B79">
        <v>177</v>
      </c>
      <c r="C79">
        <v>28</v>
      </c>
      <c r="D79" s="1">
        <v>46038.731249999997</v>
      </c>
      <c r="E79">
        <v>299</v>
      </c>
      <c r="F79" t="s">
        <v>66</v>
      </c>
      <c r="G79" t="s">
        <v>64</v>
      </c>
      <c r="H79">
        <v>95</v>
      </c>
      <c r="I79" t="str">
        <f>IFERROR(VLOOKUP(C79,Merchants!$A$2:$D$41,2,FALSE),"Merchant not found")</f>
        <v>Merchant_028</v>
      </c>
      <c r="J79" t="str">
        <f>IFERROR(VLOOKUP(C79,Merchants!$A$2:$D$41,3,FALSE),"Merchant not found")</f>
        <v>ecommerce</v>
      </c>
      <c r="K79" t="str">
        <f>IFERROR(VLOOKUP(C79,Merchants!$A$2:$D$41,4,FALSE),"Merchant not found")</f>
        <v>South</v>
      </c>
      <c r="L79" s="2">
        <f>HLOOKUP(F79,Fee_lookup!$A$2:$E$3,2,FALSE)</f>
        <v>2.0000000000000001E-4</v>
      </c>
      <c r="M79" s="6">
        <f t="shared" si="3"/>
        <v>46038</v>
      </c>
      <c r="N79">
        <f t="shared" si="4"/>
        <v>299</v>
      </c>
      <c r="O79" t="str">
        <f t="shared" si="5"/>
        <v>Normal Merchant Day</v>
      </c>
    </row>
    <row r="80" spans="1:15" x14ac:dyDescent="0.3">
      <c r="A80" t="s">
        <v>147</v>
      </c>
      <c r="B80">
        <v>233</v>
      </c>
      <c r="C80">
        <v>18</v>
      </c>
      <c r="D80" s="1">
        <v>46040.431944444441</v>
      </c>
      <c r="E80">
        <v>499</v>
      </c>
      <c r="F80" t="s">
        <v>66</v>
      </c>
      <c r="G80" t="s">
        <v>64</v>
      </c>
      <c r="H80">
        <v>39</v>
      </c>
      <c r="I80" t="str">
        <f>IFERROR(VLOOKUP(C80,Merchants!$A$2:$D$41,2,FALSE),"Merchant not found")</f>
        <v>Merchant_018</v>
      </c>
      <c r="J80" t="str">
        <f>IFERROR(VLOOKUP(C80,Merchants!$A$2:$D$41,3,FALSE),"Merchant not found")</f>
        <v>grocery</v>
      </c>
      <c r="K80" t="str">
        <f>IFERROR(VLOOKUP(C80,Merchants!$A$2:$D$41,4,FALSE),"Merchant not found")</f>
        <v>West</v>
      </c>
      <c r="L80" s="2">
        <f>HLOOKUP(F80,Fee_lookup!$A$2:$E$3,2,FALSE)</f>
        <v>2.0000000000000001E-4</v>
      </c>
      <c r="M80" s="6">
        <f t="shared" si="3"/>
        <v>46040</v>
      </c>
      <c r="N80">
        <f t="shared" si="4"/>
        <v>499</v>
      </c>
      <c r="O80" t="str">
        <f t="shared" si="5"/>
        <v>Normal Merchant Day</v>
      </c>
    </row>
    <row r="81" spans="1:15" x14ac:dyDescent="0.3">
      <c r="A81" t="s">
        <v>148</v>
      </c>
      <c r="B81">
        <v>99</v>
      </c>
      <c r="C81">
        <v>21</v>
      </c>
      <c r="D81" s="1">
        <v>46031.296527777777</v>
      </c>
      <c r="E81">
        <v>499</v>
      </c>
      <c r="F81" t="s">
        <v>66</v>
      </c>
      <c r="G81" t="s">
        <v>64</v>
      </c>
      <c r="H81">
        <v>15</v>
      </c>
      <c r="I81" t="str">
        <f>IFERROR(VLOOKUP(C81,Merchants!$A$2:$D$41,2,FALSE),"Merchant not found")</f>
        <v>Merchant_021</v>
      </c>
      <c r="J81" t="str">
        <f>IFERROR(VLOOKUP(C81,Merchants!$A$2:$D$41,3,FALSE),"Merchant not found")</f>
        <v>food_delivery</v>
      </c>
      <c r="K81" t="str">
        <f>IFERROR(VLOOKUP(C81,Merchants!$A$2:$D$41,4,FALSE),"Merchant not found")</f>
        <v>East</v>
      </c>
      <c r="L81" s="2">
        <f>HLOOKUP(F81,Fee_lookup!$A$2:$E$3,2,FALSE)</f>
        <v>2.0000000000000001E-4</v>
      </c>
      <c r="M81" s="6">
        <f t="shared" si="3"/>
        <v>46031</v>
      </c>
      <c r="N81">
        <f t="shared" si="4"/>
        <v>499</v>
      </c>
      <c r="O81" t="str">
        <f t="shared" si="5"/>
        <v>Normal Merchant Day</v>
      </c>
    </row>
    <row r="82" spans="1:15" x14ac:dyDescent="0.3">
      <c r="A82" t="s">
        <v>149</v>
      </c>
      <c r="B82">
        <v>95</v>
      </c>
      <c r="C82">
        <v>13</v>
      </c>
      <c r="D82" s="1">
        <v>46046.741666666669</v>
      </c>
      <c r="E82">
        <v>2999</v>
      </c>
      <c r="F82" t="s">
        <v>69</v>
      </c>
      <c r="G82" t="s">
        <v>79</v>
      </c>
      <c r="H82">
        <v>27</v>
      </c>
      <c r="I82" t="str">
        <f>IFERROR(VLOOKUP(C82,Merchants!$A$2:$D$41,2,FALSE),"Merchant not found")</f>
        <v>Merchant_013</v>
      </c>
      <c r="J82" t="str">
        <f>IFERROR(VLOOKUP(C82,Merchants!$A$2:$D$41,3,FALSE),"Merchant not found")</f>
        <v>travel</v>
      </c>
      <c r="K82" t="str">
        <f>IFERROR(VLOOKUP(C82,Merchants!$A$2:$D$41,4,FALSE),"Merchant not found")</f>
        <v>East</v>
      </c>
      <c r="L82" s="2">
        <f>HLOOKUP(F82,Fee_lookup!$A$2:$E$3,2,FALSE)</f>
        <v>0.01</v>
      </c>
      <c r="M82" s="6">
        <f t="shared" si="3"/>
        <v>46046</v>
      </c>
      <c r="N82">
        <f t="shared" si="4"/>
        <v>2999</v>
      </c>
      <c r="O82" t="str">
        <f t="shared" si="5"/>
        <v>Normal Merchant Day</v>
      </c>
    </row>
    <row r="83" spans="1:15" x14ac:dyDescent="0.3">
      <c r="A83" t="s">
        <v>150</v>
      </c>
      <c r="B83">
        <v>302</v>
      </c>
      <c r="C83">
        <v>34</v>
      </c>
      <c r="D83" s="1">
        <v>46046.636805555558</v>
      </c>
      <c r="E83">
        <v>49</v>
      </c>
      <c r="F83" t="s">
        <v>69</v>
      </c>
      <c r="G83" t="s">
        <v>64</v>
      </c>
      <c r="H83">
        <v>76</v>
      </c>
      <c r="I83" t="str">
        <f>IFERROR(VLOOKUP(C83,Merchants!$A$2:$D$41,2,FALSE),"Merchant not found")</f>
        <v>Merchant_034</v>
      </c>
      <c r="J83" t="str">
        <f>IFERROR(VLOOKUP(C83,Merchants!$A$2:$D$41,3,FALSE),"Merchant not found")</f>
        <v>travel</v>
      </c>
      <c r="K83" t="str">
        <f>IFERROR(VLOOKUP(C83,Merchants!$A$2:$D$41,4,FALSE),"Merchant not found")</f>
        <v>South</v>
      </c>
      <c r="L83" s="2">
        <f>HLOOKUP(F83,Fee_lookup!$A$2:$E$3,2,FALSE)</f>
        <v>0.01</v>
      </c>
      <c r="M83" s="6">
        <f t="shared" si="3"/>
        <v>46046</v>
      </c>
      <c r="N83">
        <f t="shared" si="4"/>
        <v>548</v>
      </c>
      <c r="O83" t="str">
        <f t="shared" si="5"/>
        <v>Normal Merchant Day</v>
      </c>
    </row>
    <row r="84" spans="1:15" x14ac:dyDescent="0.3">
      <c r="A84" t="s">
        <v>151</v>
      </c>
      <c r="B84">
        <v>100</v>
      </c>
      <c r="C84">
        <v>19</v>
      </c>
      <c r="D84" s="1">
        <v>46032.161805555559</v>
      </c>
      <c r="E84">
        <v>2999</v>
      </c>
      <c r="F84" t="s">
        <v>69</v>
      </c>
      <c r="G84" t="s">
        <v>64</v>
      </c>
      <c r="H84">
        <v>29</v>
      </c>
      <c r="I84" t="str">
        <f>IFERROR(VLOOKUP(C84,Merchants!$A$2:$D$41,2,FALSE),"Merchant not found")</f>
        <v>Merchant_019</v>
      </c>
      <c r="J84" t="str">
        <f>IFERROR(VLOOKUP(C84,Merchants!$A$2:$D$41,3,FALSE),"Merchant not found")</f>
        <v>grocery</v>
      </c>
      <c r="K84" t="str">
        <f>IFERROR(VLOOKUP(C84,Merchants!$A$2:$D$41,4,FALSE),"Merchant not found")</f>
        <v>North</v>
      </c>
      <c r="L84" s="2">
        <f>HLOOKUP(F84,Fee_lookup!$A$2:$E$3,2,FALSE)</f>
        <v>0.01</v>
      </c>
      <c r="M84" s="6">
        <f t="shared" si="3"/>
        <v>46032</v>
      </c>
      <c r="N84">
        <f t="shared" si="4"/>
        <v>2999</v>
      </c>
      <c r="O84" t="str">
        <f t="shared" si="5"/>
        <v>Normal Merchant Day</v>
      </c>
    </row>
    <row r="85" spans="1:15" x14ac:dyDescent="0.3">
      <c r="A85" t="s">
        <v>152</v>
      </c>
      <c r="B85">
        <v>8</v>
      </c>
      <c r="C85">
        <v>35</v>
      </c>
      <c r="D85" s="1">
        <v>46034.22152777778</v>
      </c>
      <c r="E85">
        <v>99</v>
      </c>
      <c r="F85" t="s">
        <v>66</v>
      </c>
      <c r="G85" t="s">
        <v>64</v>
      </c>
      <c r="H85">
        <v>16</v>
      </c>
      <c r="I85" t="str">
        <f>IFERROR(VLOOKUP(C85,Merchants!$A$2:$D$41,2,FALSE),"Merchant not found")</f>
        <v>Merchant_035</v>
      </c>
      <c r="J85" t="str">
        <f>IFERROR(VLOOKUP(C85,Merchants!$A$2:$D$41,3,FALSE),"Merchant not found")</f>
        <v>recharge</v>
      </c>
      <c r="K85" t="str">
        <f>IFERROR(VLOOKUP(C85,Merchants!$A$2:$D$41,4,FALSE),"Merchant not found")</f>
        <v>East</v>
      </c>
      <c r="L85" s="2">
        <f>HLOOKUP(F85,Fee_lookup!$A$2:$E$3,2,FALSE)</f>
        <v>2.0000000000000001E-4</v>
      </c>
      <c r="M85" s="6">
        <f t="shared" si="3"/>
        <v>46034</v>
      </c>
      <c r="N85">
        <f t="shared" si="4"/>
        <v>99</v>
      </c>
      <c r="O85" t="str">
        <f t="shared" si="5"/>
        <v>Normal Merchant Day</v>
      </c>
    </row>
    <row r="86" spans="1:15" x14ac:dyDescent="0.3">
      <c r="A86" t="s">
        <v>153</v>
      </c>
      <c r="B86">
        <v>284</v>
      </c>
      <c r="C86">
        <v>19</v>
      </c>
      <c r="D86" s="1">
        <v>46031.043749999997</v>
      </c>
      <c r="E86">
        <v>99</v>
      </c>
      <c r="F86" t="s">
        <v>66</v>
      </c>
      <c r="G86" t="s">
        <v>64</v>
      </c>
      <c r="H86">
        <v>89</v>
      </c>
      <c r="I86" t="str">
        <f>IFERROR(VLOOKUP(C86,Merchants!$A$2:$D$41,2,FALSE),"Merchant not found")</f>
        <v>Merchant_019</v>
      </c>
      <c r="J86" t="str">
        <f>IFERROR(VLOOKUP(C86,Merchants!$A$2:$D$41,3,FALSE),"Merchant not found")</f>
        <v>grocery</v>
      </c>
      <c r="K86" t="str">
        <f>IFERROR(VLOOKUP(C86,Merchants!$A$2:$D$41,4,FALSE),"Merchant not found")</f>
        <v>North</v>
      </c>
      <c r="L86" s="2">
        <f>HLOOKUP(F86,Fee_lookup!$A$2:$E$3,2,FALSE)</f>
        <v>2.0000000000000001E-4</v>
      </c>
      <c r="M86" s="6">
        <f t="shared" si="3"/>
        <v>46031</v>
      </c>
      <c r="N86">
        <f t="shared" si="4"/>
        <v>99</v>
      </c>
      <c r="O86" t="str">
        <f t="shared" si="5"/>
        <v>Normal Merchant Day</v>
      </c>
    </row>
    <row r="87" spans="1:15" x14ac:dyDescent="0.3">
      <c r="A87" t="s">
        <v>154</v>
      </c>
      <c r="B87">
        <v>252</v>
      </c>
      <c r="C87">
        <v>7</v>
      </c>
      <c r="D87" s="1">
        <v>46027.871527777781</v>
      </c>
      <c r="E87">
        <v>2999</v>
      </c>
      <c r="F87" t="s">
        <v>63</v>
      </c>
      <c r="G87" t="s">
        <v>64</v>
      </c>
      <c r="H87">
        <v>1</v>
      </c>
      <c r="I87" t="str">
        <f>IFERROR(VLOOKUP(C87,Merchants!$A$2:$D$41,2,FALSE),"Merchant not found")</f>
        <v>Merchant_007</v>
      </c>
      <c r="J87" t="str">
        <f>IFERROR(VLOOKUP(C87,Merchants!$A$2:$D$41,3,FALSE),"Merchant not found")</f>
        <v>food_delivery</v>
      </c>
      <c r="K87" t="str">
        <f>IFERROR(VLOOKUP(C87,Merchants!$A$2:$D$41,4,FALSE),"Merchant not found")</f>
        <v>East</v>
      </c>
      <c r="L87" s="2">
        <f>HLOOKUP(F87,Fee_lookup!$A$2:$E$3,2,FALSE)</f>
        <v>5.0000000000000001E-4</v>
      </c>
      <c r="M87" s="6">
        <f t="shared" si="3"/>
        <v>46027</v>
      </c>
      <c r="N87">
        <f t="shared" si="4"/>
        <v>4498</v>
      </c>
      <c r="O87" t="str">
        <f t="shared" si="5"/>
        <v>Normal Merchant Day</v>
      </c>
    </row>
    <row r="88" spans="1:15" x14ac:dyDescent="0.3">
      <c r="A88" t="s">
        <v>155</v>
      </c>
      <c r="B88">
        <v>246</v>
      </c>
      <c r="C88">
        <v>29</v>
      </c>
      <c r="D88" s="1">
        <v>46041.395833333336</v>
      </c>
      <c r="E88">
        <v>49</v>
      </c>
      <c r="F88" t="s">
        <v>63</v>
      </c>
      <c r="G88" t="s">
        <v>64</v>
      </c>
      <c r="H88">
        <v>43</v>
      </c>
      <c r="I88" t="str">
        <f>IFERROR(VLOOKUP(C88,Merchants!$A$2:$D$41,2,FALSE),"Merchant not found")</f>
        <v>Merchant_029</v>
      </c>
      <c r="J88" t="str">
        <f>IFERROR(VLOOKUP(C88,Merchants!$A$2:$D$41,3,FALSE),"Merchant not found")</f>
        <v>ecommerce</v>
      </c>
      <c r="K88" t="str">
        <f>IFERROR(VLOOKUP(C88,Merchants!$A$2:$D$41,4,FALSE),"Merchant not found")</f>
        <v>North</v>
      </c>
      <c r="L88" s="2">
        <f>HLOOKUP(F88,Fee_lookup!$A$2:$E$3,2,FALSE)</f>
        <v>5.0000000000000001E-4</v>
      </c>
      <c r="M88" s="6">
        <f t="shared" si="3"/>
        <v>46041</v>
      </c>
      <c r="N88">
        <f t="shared" si="4"/>
        <v>49</v>
      </c>
      <c r="O88" t="str">
        <f t="shared" si="5"/>
        <v>Normal Merchant Day</v>
      </c>
    </row>
    <row r="89" spans="1:15" x14ac:dyDescent="0.3">
      <c r="A89" t="s">
        <v>156</v>
      </c>
      <c r="B89">
        <v>245</v>
      </c>
      <c r="C89">
        <v>8</v>
      </c>
      <c r="D89" s="1">
        <v>46028.052777777775</v>
      </c>
      <c r="E89">
        <v>49</v>
      </c>
      <c r="F89" t="s">
        <v>66</v>
      </c>
      <c r="G89" t="s">
        <v>92</v>
      </c>
      <c r="H89">
        <v>8</v>
      </c>
      <c r="I89" t="str">
        <f>IFERROR(VLOOKUP(C89,Merchants!$A$2:$D$41,2,FALSE),"Merchant not found")</f>
        <v>Merchant_008</v>
      </c>
      <c r="J89" t="str">
        <f>IFERROR(VLOOKUP(C89,Merchants!$A$2:$D$41,3,FALSE),"Merchant not found")</f>
        <v>food_delivery</v>
      </c>
      <c r="K89" t="str">
        <f>IFERROR(VLOOKUP(C89,Merchants!$A$2:$D$41,4,FALSE),"Merchant not found")</f>
        <v>North</v>
      </c>
      <c r="L89" s="2">
        <f>HLOOKUP(F89,Fee_lookup!$A$2:$E$3,2,FALSE)</f>
        <v>2.0000000000000001E-4</v>
      </c>
      <c r="M89" s="6">
        <f t="shared" si="3"/>
        <v>46028</v>
      </c>
      <c r="N89">
        <f t="shared" si="4"/>
        <v>49</v>
      </c>
      <c r="O89" t="str">
        <f t="shared" si="5"/>
        <v>Normal Merchant Day</v>
      </c>
    </row>
    <row r="90" spans="1:15" x14ac:dyDescent="0.3">
      <c r="A90" t="s">
        <v>157</v>
      </c>
      <c r="B90">
        <v>296</v>
      </c>
      <c r="C90">
        <v>4</v>
      </c>
      <c r="D90" s="1">
        <v>46035.62777777778</v>
      </c>
      <c r="E90">
        <v>799</v>
      </c>
      <c r="F90" t="s">
        <v>63</v>
      </c>
      <c r="G90" t="s">
        <v>64</v>
      </c>
      <c r="H90">
        <v>19</v>
      </c>
      <c r="I90" t="str">
        <f>IFERROR(VLOOKUP(C90,Merchants!$A$2:$D$41,2,FALSE),"Merchant not found")</f>
        <v>Merchant_004</v>
      </c>
      <c r="J90" t="str">
        <f>IFERROR(VLOOKUP(C90,Merchants!$A$2:$D$41,3,FALSE),"Merchant not found")</f>
        <v>ecommerce</v>
      </c>
      <c r="K90" t="str">
        <f>IFERROR(VLOOKUP(C90,Merchants!$A$2:$D$41,4,FALSE),"Merchant not found")</f>
        <v>East</v>
      </c>
      <c r="L90" s="2">
        <f>HLOOKUP(F90,Fee_lookup!$A$2:$E$3,2,FALSE)</f>
        <v>5.0000000000000001E-4</v>
      </c>
      <c r="M90" s="6">
        <f t="shared" si="3"/>
        <v>46035</v>
      </c>
      <c r="N90">
        <f t="shared" si="4"/>
        <v>948</v>
      </c>
      <c r="O90" t="str">
        <f t="shared" si="5"/>
        <v>Normal Merchant Day</v>
      </c>
    </row>
    <row r="91" spans="1:15" x14ac:dyDescent="0.3">
      <c r="A91" t="s">
        <v>158</v>
      </c>
      <c r="B91">
        <v>44</v>
      </c>
      <c r="C91">
        <v>16</v>
      </c>
      <c r="D91" s="1">
        <v>46027.763194444444</v>
      </c>
      <c r="E91">
        <v>149</v>
      </c>
      <c r="F91" t="s">
        <v>66</v>
      </c>
      <c r="G91" t="s">
        <v>64</v>
      </c>
      <c r="H91">
        <v>15</v>
      </c>
      <c r="I91" t="str">
        <f>IFERROR(VLOOKUP(C91,Merchants!$A$2:$D$41,2,FALSE),"Merchant not found")</f>
        <v>Merchant_016</v>
      </c>
      <c r="J91" t="str">
        <f>IFERROR(VLOOKUP(C91,Merchants!$A$2:$D$41,3,FALSE),"Merchant not found")</f>
        <v>bill_payment</v>
      </c>
      <c r="K91" t="str">
        <f>IFERROR(VLOOKUP(C91,Merchants!$A$2:$D$41,4,FALSE),"Merchant not found")</f>
        <v>West</v>
      </c>
      <c r="L91" s="2">
        <f>HLOOKUP(F91,Fee_lookup!$A$2:$E$3,2,FALSE)</f>
        <v>2.0000000000000001E-4</v>
      </c>
      <c r="M91" s="6">
        <f t="shared" si="3"/>
        <v>46027</v>
      </c>
      <c r="N91">
        <f t="shared" si="4"/>
        <v>149</v>
      </c>
      <c r="O91" t="str">
        <f t="shared" si="5"/>
        <v>Normal Merchant Day</v>
      </c>
    </row>
    <row r="92" spans="1:15" x14ac:dyDescent="0.3">
      <c r="A92" t="s">
        <v>159</v>
      </c>
      <c r="B92">
        <v>306</v>
      </c>
      <c r="C92">
        <v>40</v>
      </c>
      <c r="D92" s="1">
        <v>46040.568055555559</v>
      </c>
      <c r="E92">
        <v>799</v>
      </c>
      <c r="F92" t="s">
        <v>78</v>
      </c>
      <c r="G92" t="s">
        <v>64</v>
      </c>
      <c r="H92">
        <v>28</v>
      </c>
      <c r="I92" t="str">
        <f>IFERROR(VLOOKUP(C92,Merchants!$A$2:$D$41,2,FALSE),"Merchant not found")</f>
        <v>Merchant_040</v>
      </c>
      <c r="J92" t="str">
        <f>IFERROR(VLOOKUP(C92,Merchants!$A$2:$D$41,3,FALSE),"Merchant not found")</f>
        <v>entertainment</v>
      </c>
      <c r="K92" t="str">
        <f>IFERROR(VLOOKUP(C92,Merchants!$A$2:$D$41,4,FALSE),"Merchant not found")</f>
        <v>South</v>
      </c>
      <c r="L92" s="2">
        <f>HLOOKUP(F92,Fee_lookup!$A$2:$E$3,2,FALSE)</f>
        <v>1.4999999999999999E-2</v>
      </c>
      <c r="M92" s="6">
        <f t="shared" si="3"/>
        <v>46040</v>
      </c>
      <c r="N92">
        <f t="shared" si="4"/>
        <v>799</v>
      </c>
      <c r="O92" t="str">
        <f t="shared" si="5"/>
        <v>Normal Merchant Day</v>
      </c>
    </row>
    <row r="93" spans="1:15" x14ac:dyDescent="0.3">
      <c r="A93" t="s">
        <v>160</v>
      </c>
      <c r="B93">
        <v>231</v>
      </c>
      <c r="C93">
        <v>29</v>
      </c>
      <c r="D93" s="1">
        <v>46047.683333333334</v>
      </c>
      <c r="E93">
        <v>299</v>
      </c>
      <c r="F93" t="s">
        <v>66</v>
      </c>
      <c r="G93" t="s">
        <v>64</v>
      </c>
      <c r="H93">
        <v>38</v>
      </c>
      <c r="I93" t="str">
        <f>IFERROR(VLOOKUP(C93,Merchants!$A$2:$D$41,2,FALSE),"Merchant not found")</f>
        <v>Merchant_029</v>
      </c>
      <c r="J93" t="str">
        <f>IFERROR(VLOOKUP(C93,Merchants!$A$2:$D$41,3,FALSE),"Merchant not found")</f>
        <v>ecommerce</v>
      </c>
      <c r="K93" t="str">
        <f>IFERROR(VLOOKUP(C93,Merchants!$A$2:$D$41,4,FALSE),"Merchant not found")</f>
        <v>North</v>
      </c>
      <c r="L93" s="2">
        <f>HLOOKUP(F93,Fee_lookup!$A$2:$E$3,2,FALSE)</f>
        <v>2.0000000000000001E-4</v>
      </c>
      <c r="M93" s="6">
        <f t="shared" si="3"/>
        <v>46047</v>
      </c>
      <c r="N93">
        <f t="shared" si="4"/>
        <v>3896</v>
      </c>
      <c r="O93" t="str">
        <f t="shared" si="5"/>
        <v>Normal Merchant Day</v>
      </c>
    </row>
    <row r="94" spans="1:15" x14ac:dyDescent="0.3">
      <c r="A94" t="s">
        <v>161</v>
      </c>
      <c r="B94">
        <v>157</v>
      </c>
      <c r="C94">
        <v>37</v>
      </c>
      <c r="D94" s="1">
        <v>46050.768750000003</v>
      </c>
      <c r="E94">
        <v>499</v>
      </c>
      <c r="F94" t="s">
        <v>63</v>
      </c>
      <c r="G94" t="s">
        <v>64</v>
      </c>
      <c r="H94">
        <v>79</v>
      </c>
      <c r="I94" t="str">
        <f>IFERROR(VLOOKUP(C94,Merchants!$A$2:$D$41,2,FALSE),"Merchant not found")</f>
        <v>Merchant_037</v>
      </c>
      <c r="J94" t="str">
        <f>IFERROR(VLOOKUP(C94,Merchants!$A$2:$D$41,3,FALSE),"Merchant not found")</f>
        <v>entertainment</v>
      </c>
      <c r="K94" t="str">
        <f>IFERROR(VLOOKUP(C94,Merchants!$A$2:$D$41,4,FALSE),"Merchant not found")</f>
        <v>South</v>
      </c>
      <c r="L94" s="2">
        <f>HLOOKUP(F94,Fee_lookup!$A$2:$E$3,2,FALSE)</f>
        <v>5.0000000000000001E-4</v>
      </c>
      <c r="M94" s="6">
        <f t="shared" si="3"/>
        <v>46050</v>
      </c>
      <c r="N94">
        <f t="shared" si="4"/>
        <v>697</v>
      </c>
      <c r="O94" t="str">
        <f t="shared" si="5"/>
        <v>Normal Merchant Day</v>
      </c>
    </row>
    <row r="95" spans="1:15" x14ac:dyDescent="0.3">
      <c r="A95" t="s">
        <v>162</v>
      </c>
      <c r="B95">
        <v>51</v>
      </c>
      <c r="C95">
        <v>14</v>
      </c>
      <c r="D95" s="1">
        <v>46024.824305555558</v>
      </c>
      <c r="E95">
        <v>1499</v>
      </c>
      <c r="F95" t="s">
        <v>66</v>
      </c>
      <c r="G95" t="s">
        <v>64</v>
      </c>
      <c r="H95">
        <v>80</v>
      </c>
      <c r="I95" t="str">
        <f>IFERROR(VLOOKUP(C95,Merchants!$A$2:$D$41,2,FALSE),"Merchant not found")</f>
        <v>Merchant_014</v>
      </c>
      <c r="J95" t="str">
        <f>IFERROR(VLOOKUP(C95,Merchants!$A$2:$D$41,3,FALSE),"Merchant not found")</f>
        <v>grocery</v>
      </c>
      <c r="K95" t="str">
        <f>IFERROR(VLOOKUP(C95,Merchants!$A$2:$D$41,4,FALSE),"Merchant not found")</f>
        <v>East</v>
      </c>
      <c r="L95" s="2">
        <f>HLOOKUP(F95,Fee_lookup!$A$2:$E$3,2,FALSE)</f>
        <v>2.0000000000000001E-4</v>
      </c>
      <c r="M95" s="6">
        <f t="shared" si="3"/>
        <v>46024</v>
      </c>
      <c r="N95">
        <f t="shared" si="4"/>
        <v>1499</v>
      </c>
      <c r="O95" t="str">
        <f t="shared" si="5"/>
        <v>Normal Merchant Day</v>
      </c>
    </row>
    <row r="96" spans="1:15" x14ac:dyDescent="0.3">
      <c r="A96" t="s">
        <v>163</v>
      </c>
      <c r="B96">
        <v>42</v>
      </c>
      <c r="C96">
        <v>11</v>
      </c>
      <c r="D96" s="1">
        <v>46029.362500000003</v>
      </c>
      <c r="E96">
        <v>49</v>
      </c>
      <c r="F96" t="s">
        <v>63</v>
      </c>
      <c r="G96" t="s">
        <v>64</v>
      </c>
      <c r="H96">
        <v>30</v>
      </c>
      <c r="I96" t="str">
        <f>IFERROR(VLOOKUP(C96,Merchants!$A$2:$D$41,2,FALSE),"Merchant not found")</f>
        <v>Merchant_011</v>
      </c>
      <c r="J96" t="str">
        <f>IFERROR(VLOOKUP(C96,Merchants!$A$2:$D$41,3,FALSE),"Merchant not found")</f>
        <v>ecommerce</v>
      </c>
      <c r="K96" t="str">
        <f>IFERROR(VLOOKUP(C96,Merchants!$A$2:$D$41,4,FALSE),"Merchant not found")</f>
        <v>North</v>
      </c>
      <c r="L96" s="2">
        <f>HLOOKUP(F96,Fee_lookup!$A$2:$E$3,2,FALSE)</f>
        <v>5.0000000000000001E-4</v>
      </c>
      <c r="M96" s="6">
        <f t="shared" si="3"/>
        <v>46029</v>
      </c>
      <c r="N96">
        <f t="shared" si="4"/>
        <v>49</v>
      </c>
      <c r="O96" t="str">
        <f t="shared" si="5"/>
        <v>Normal Merchant Day</v>
      </c>
    </row>
    <row r="97" spans="1:15" x14ac:dyDescent="0.3">
      <c r="A97" t="s">
        <v>164</v>
      </c>
      <c r="B97">
        <v>81</v>
      </c>
      <c r="C97">
        <v>1</v>
      </c>
      <c r="D97" s="1">
        <v>46028.711111111108</v>
      </c>
      <c r="E97">
        <v>149</v>
      </c>
      <c r="F97" t="s">
        <v>66</v>
      </c>
      <c r="G97" t="s">
        <v>64</v>
      </c>
      <c r="H97">
        <v>52</v>
      </c>
      <c r="I97" t="str">
        <f>IFERROR(VLOOKUP(C97,Merchants!$A$2:$D$41,2,FALSE),"Merchant not found")</f>
        <v>Merchant_001</v>
      </c>
      <c r="J97" t="str">
        <f>IFERROR(VLOOKUP(C97,Merchants!$A$2:$D$41,3,FALSE),"Merchant not found")</f>
        <v>ecommerce</v>
      </c>
      <c r="K97" t="str">
        <f>IFERROR(VLOOKUP(C97,Merchants!$A$2:$D$41,4,FALSE),"Merchant not found")</f>
        <v>South</v>
      </c>
      <c r="L97" s="2">
        <f>HLOOKUP(F97,Fee_lookup!$A$2:$E$3,2,FALSE)</f>
        <v>2.0000000000000001E-4</v>
      </c>
      <c r="M97" s="6">
        <f t="shared" si="3"/>
        <v>46028</v>
      </c>
      <c r="N97">
        <f t="shared" si="4"/>
        <v>149</v>
      </c>
      <c r="O97" t="str">
        <f t="shared" si="5"/>
        <v>Normal Merchant Day</v>
      </c>
    </row>
    <row r="98" spans="1:15" x14ac:dyDescent="0.3">
      <c r="A98" t="s">
        <v>165</v>
      </c>
      <c r="B98">
        <v>241</v>
      </c>
      <c r="C98">
        <v>19</v>
      </c>
      <c r="D98" s="1">
        <v>46037.943055555559</v>
      </c>
      <c r="E98">
        <v>299</v>
      </c>
      <c r="F98" t="s">
        <v>66</v>
      </c>
      <c r="G98" t="s">
        <v>64</v>
      </c>
      <c r="H98">
        <v>4</v>
      </c>
      <c r="I98" t="str">
        <f>IFERROR(VLOOKUP(C98,Merchants!$A$2:$D$41,2,FALSE),"Merchant not found")</f>
        <v>Merchant_019</v>
      </c>
      <c r="J98" t="str">
        <f>IFERROR(VLOOKUP(C98,Merchants!$A$2:$D$41,3,FALSE),"Merchant not found")</f>
        <v>grocery</v>
      </c>
      <c r="K98" t="str">
        <f>IFERROR(VLOOKUP(C98,Merchants!$A$2:$D$41,4,FALSE),"Merchant not found")</f>
        <v>North</v>
      </c>
      <c r="L98" s="2">
        <f>HLOOKUP(F98,Fee_lookup!$A$2:$E$3,2,FALSE)</f>
        <v>2.0000000000000001E-4</v>
      </c>
      <c r="M98" s="6">
        <f t="shared" si="3"/>
        <v>46037</v>
      </c>
      <c r="N98">
        <f t="shared" si="4"/>
        <v>398</v>
      </c>
      <c r="O98" t="str">
        <f t="shared" si="5"/>
        <v>Normal Merchant Day</v>
      </c>
    </row>
    <row r="99" spans="1:15" x14ac:dyDescent="0.3">
      <c r="A99" t="s">
        <v>166</v>
      </c>
      <c r="B99">
        <v>145</v>
      </c>
      <c r="C99">
        <v>30</v>
      </c>
      <c r="D99" s="1">
        <v>46030.40625</v>
      </c>
      <c r="E99">
        <v>799</v>
      </c>
      <c r="F99" t="s">
        <v>66</v>
      </c>
      <c r="G99" t="s">
        <v>64</v>
      </c>
      <c r="H99">
        <v>9</v>
      </c>
      <c r="I99" t="str">
        <f>IFERROR(VLOOKUP(C99,Merchants!$A$2:$D$41,2,FALSE),"Merchant not found")</f>
        <v>Merchant_030</v>
      </c>
      <c r="J99" t="str">
        <f>IFERROR(VLOOKUP(C99,Merchants!$A$2:$D$41,3,FALSE),"Merchant not found")</f>
        <v>travel</v>
      </c>
      <c r="K99" t="str">
        <f>IFERROR(VLOOKUP(C99,Merchants!$A$2:$D$41,4,FALSE),"Merchant not found")</f>
        <v>West</v>
      </c>
      <c r="L99" s="2">
        <f>HLOOKUP(F99,Fee_lookup!$A$2:$E$3,2,FALSE)</f>
        <v>2.0000000000000001E-4</v>
      </c>
      <c r="M99" s="6">
        <f t="shared" si="3"/>
        <v>46030</v>
      </c>
      <c r="N99">
        <f t="shared" si="4"/>
        <v>1197</v>
      </c>
      <c r="O99" t="str">
        <f t="shared" si="5"/>
        <v>Normal Merchant Day</v>
      </c>
    </row>
    <row r="100" spans="1:15" x14ac:dyDescent="0.3">
      <c r="A100" t="s">
        <v>167</v>
      </c>
      <c r="B100">
        <v>136</v>
      </c>
      <c r="C100">
        <v>38</v>
      </c>
      <c r="D100" s="1">
        <v>46044.332638888889</v>
      </c>
      <c r="E100">
        <v>299</v>
      </c>
      <c r="F100" t="s">
        <v>78</v>
      </c>
      <c r="G100" t="s">
        <v>64</v>
      </c>
      <c r="H100">
        <v>84</v>
      </c>
      <c r="I100" t="str">
        <f>IFERROR(VLOOKUP(C100,Merchants!$A$2:$D$41,2,FALSE),"Merchant not found")</f>
        <v>Merchant_038</v>
      </c>
      <c r="J100" t="str">
        <f>IFERROR(VLOOKUP(C100,Merchants!$A$2:$D$41,3,FALSE),"Merchant not found")</f>
        <v>grocery</v>
      </c>
      <c r="K100" t="str">
        <f>IFERROR(VLOOKUP(C100,Merchants!$A$2:$D$41,4,FALSE),"Merchant not found")</f>
        <v>East</v>
      </c>
      <c r="L100" s="2">
        <f>HLOOKUP(F100,Fee_lookup!$A$2:$E$3,2,FALSE)</f>
        <v>1.4999999999999999E-2</v>
      </c>
      <c r="M100" s="6">
        <f t="shared" si="3"/>
        <v>46044</v>
      </c>
      <c r="N100">
        <f t="shared" si="4"/>
        <v>299</v>
      </c>
      <c r="O100" t="str">
        <f t="shared" si="5"/>
        <v>Normal Merchant Day</v>
      </c>
    </row>
    <row r="101" spans="1:15" x14ac:dyDescent="0.3">
      <c r="A101" t="s">
        <v>168</v>
      </c>
      <c r="B101">
        <v>59</v>
      </c>
      <c r="C101">
        <v>35</v>
      </c>
      <c r="D101" s="1">
        <v>46048.268750000003</v>
      </c>
      <c r="E101">
        <v>499</v>
      </c>
      <c r="F101" t="s">
        <v>66</v>
      </c>
      <c r="G101" t="s">
        <v>64</v>
      </c>
      <c r="H101">
        <v>28</v>
      </c>
      <c r="I101" t="str">
        <f>IFERROR(VLOOKUP(C101,Merchants!$A$2:$D$41,2,FALSE),"Merchant not found")</f>
        <v>Merchant_035</v>
      </c>
      <c r="J101" t="str">
        <f>IFERROR(VLOOKUP(C101,Merchants!$A$2:$D$41,3,FALSE),"Merchant not found")</f>
        <v>recharge</v>
      </c>
      <c r="K101" t="str">
        <f>IFERROR(VLOOKUP(C101,Merchants!$A$2:$D$41,4,FALSE),"Merchant not found")</f>
        <v>East</v>
      </c>
      <c r="L101" s="2">
        <f>HLOOKUP(F101,Fee_lookup!$A$2:$E$3,2,FALSE)</f>
        <v>2.0000000000000001E-4</v>
      </c>
      <c r="M101" s="6">
        <f t="shared" si="3"/>
        <v>46048</v>
      </c>
      <c r="N101">
        <f t="shared" si="4"/>
        <v>499</v>
      </c>
      <c r="O101" t="str">
        <f t="shared" si="5"/>
        <v>Normal Merchant Day</v>
      </c>
    </row>
    <row r="102" spans="1:15" x14ac:dyDescent="0.3">
      <c r="A102" t="s">
        <v>169</v>
      </c>
      <c r="B102">
        <v>137</v>
      </c>
      <c r="C102">
        <v>10</v>
      </c>
      <c r="D102" s="1">
        <v>46043.206944444442</v>
      </c>
      <c r="E102">
        <v>299</v>
      </c>
      <c r="F102" t="s">
        <v>66</v>
      </c>
      <c r="G102" t="s">
        <v>64</v>
      </c>
      <c r="H102">
        <v>9</v>
      </c>
      <c r="I102" t="str">
        <f>IFERROR(VLOOKUP(C102,Merchants!$A$2:$D$41,2,FALSE),"Merchant not found")</f>
        <v>Merchant_010</v>
      </c>
      <c r="J102" t="str">
        <f>IFERROR(VLOOKUP(C102,Merchants!$A$2:$D$41,3,FALSE),"Merchant not found")</f>
        <v>grocery</v>
      </c>
      <c r="K102" t="str">
        <f>IFERROR(VLOOKUP(C102,Merchants!$A$2:$D$41,4,FALSE),"Merchant not found")</f>
        <v>West</v>
      </c>
      <c r="L102" s="2">
        <f>HLOOKUP(F102,Fee_lookup!$A$2:$E$3,2,FALSE)</f>
        <v>2.0000000000000001E-4</v>
      </c>
      <c r="M102" s="6">
        <f t="shared" si="3"/>
        <v>46043</v>
      </c>
      <c r="N102">
        <f t="shared" si="4"/>
        <v>398</v>
      </c>
      <c r="O102" t="str">
        <f t="shared" si="5"/>
        <v>Normal Merchant Day</v>
      </c>
    </row>
    <row r="103" spans="1:15" x14ac:dyDescent="0.3">
      <c r="A103" t="s">
        <v>170</v>
      </c>
      <c r="B103">
        <v>158</v>
      </c>
      <c r="C103">
        <v>39</v>
      </c>
      <c r="D103" s="1">
        <v>46024.243055555555</v>
      </c>
      <c r="E103">
        <v>499</v>
      </c>
      <c r="F103" t="s">
        <v>69</v>
      </c>
      <c r="G103" t="s">
        <v>64</v>
      </c>
      <c r="H103">
        <v>95</v>
      </c>
      <c r="I103" t="str">
        <f>IFERROR(VLOOKUP(C103,Merchants!$A$2:$D$41,2,FALSE),"Merchant not found")</f>
        <v>Merchant_039</v>
      </c>
      <c r="J103" t="str">
        <f>IFERROR(VLOOKUP(C103,Merchants!$A$2:$D$41,3,FALSE),"Merchant not found")</f>
        <v>entertainment</v>
      </c>
      <c r="K103" t="str">
        <f>IFERROR(VLOOKUP(C103,Merchants!$A$2:$D$41,4,FALSE),"Merchant not found")</f>
        <v>North</v>
      </c>
      <c r="L103" s="2">
        <f>HLOOKUP(F103,Fee_lookup!$A$2:$E$3,2,FALSE)</f>
        <v>0.01</v>
      </c>
      <c r="M103" s="6">
        <f t="shared" si="3"/>
        <v>46024</v>
      </c>
      <c r="N103">
        <f t="shared" si="4"/>
        <v>499</v>
      </c>
      <c r="O103" t="str">
        <f t="shared" si="5"/>
        <v>Normal Merchant Day</v>
      </c>
    </row>
    <row r="104" spans="1:15" x14ac:dyDescent="0.3">
      <c r="A104" t="s">
        <v>171</v>
      </c>
      <c r="B104">
        <v>148</v>
      </c>
      <c r="C104">
        <v>29</v>
      </c>
      <c r="D104" s="1">
        <v>46049.790277777778</v>
      </c>
      <c r="E104">
        <v>99</v>
      </c>
      <c r="F104" t="s">
        <v>78</v>
      </c>
      <c r="G104" t="s">
        <v>64</v>
      </c>
      <c r="H104">
        <v>15</v>
      </c>
      <c r="I104" t="str">
        <f>IFERROR(VLOOKUP(C104,Merchants!$A$2:$D$41,2,FALSE),"Merchant not found")</f>
        <v>Merchant_029</v>
      </c>
      <c r="J104" t="str">
        <f>IFERROR(VLOOKUP(C104,Merchants!$A$2:$D$41,3,FALSE),"Merchant not found")</f>
        <v>ecommerce</v>
      </c>
      <c r="K104" t="str">
        <f>IFERROR(VLOOKUP(C104,Merchants!$A$2:$D$41,4,FALSE),"Merchant not found")</f>
        <v>North</v>
      </c>
      <c r="L104" s="2">
        <f>HLOOKUP(F104,Fee_lookup!$A$2:$E$3,2,FALSE)</f>
        <v>1.4999999999999999E-2</v>
      </c>
      <c r="M104" s="6">
        <f t="shared" si="3"/>
        <v>46049</v>
      </c>
      <c r="N104">
        <f t="shared" si="4"/>
        <v>898</v>
      </c>
      <c r="O104" t="str">
        <f t="shared" si="5"/>
        <v>Normal Merchant Day</v>
      </c>
    </row>
    <row r="105" spans="1:15" x14ac:dyDescent="0.3">
      <c r="A105" t="s">
        <v>172</v>
      </c>
      <c r="B105">
        <v>207</v>
      </c>
      <c r="C105">
        <v>18</v>
      </c>
      <c r="D105" s="1">
        <v>46037.929861111108</v>
      </c>
      <c r="E105">
        <v>149</v>
      </c>
      <c r="F105" t="s">
        <v>66</v>
      </c>
      <c r="G105" t="s">
        <v>64</v>
      </c>
      <c r="H105">
        <v>64</v>
      </c>
      <c r="I105" t="str">
        <f>IFERROR(VLOOKUP(C105,Merchants!$A$2:$D$41,2,FALSE),"Merchant not found")</f>
        <v>Merchant_018</v>
      </c>
      <c r="J105" t="str">
        <f>IFERROR(VLOOKUP(C105,Merchants!$A$2:$D$41,3,FALSE),"Merchant not found")</f>
        <v>grocery</v>
      </c>
      <c r="K105" t="str">
        <f>IFERROR(VLOOKUP(C105,Merchants!$A$2:$D$41,4,FALSE),"Merchant not found")</f>
        <v>West</v>
      </c>
      <c r="L105" s="2">
        <f>HLOOKUP(F105,Fee_lookup!$A$2:$E$3,2,FALSE)</f>
        <v>2.0000000000000001E-4</v>
      </c>
      <c r="M105" s="6">
        <f t="shared" si="3"/>
        <v>46037</v>
      </c>
      <c r="N105">
        <f t="shared" si="4"/>
        <v>149</v>
      </c>
      <c r="O105" t="str">
        <f t="shared" si="5"/>
        <v>Normal Merchant Day</v>
      </c>
    </row>
    <row r="106" spans="1:15" x14ac:dyDescent="0.3">
      <c r="A106" t="s">
        <v>173</v>
      </c>
      <c r="B106">
        <v>42</v>
      </c>
      <c r="C106">
        <v>39</v>
      </c>
      <c r="D106" s="1">
        <v>46040.644444444442</v>
      </c>
      <c r="E106">
        <v>2999</v>
      </c>
      <c r="F106" t="s">
        <v>78</v>
      </c>
      <c r="G106" t="s">
        <v>64</v>
      </c>
      <c r="H106">
        <v>5</v>
      </c>
      <c r="I106" t="str">
        <f>IFERROR(VLOOKUP(C106,Merchants!$A$2:$D$41,2,FALSE),"Merchant not found")</f>
        <v>Merchant_039</v>
      </c>
      <c r="J106" t="str">
        <f>IFERROR(VLOOKUP(C106,Merchants!$A$2:$D$41,3,FALSE),"Merchant not found")</f>
        <v>entertainment</v>
      </c>
      <c r="K106" t="str">
        <f>IFERROR(VLOOKUP(C106,Merchants!$A$2:$D$41,4,FALSE),"Merchant not found")</f>
        <v>North</v>
      </c>
      <c r="L106" s="2">
        <f>HLOOKUP(F106,Fee_lookup!$A$2:$E$3,2,FALSE)</f>
        <v>1.4999999999999999E-2</v>
      </c>
      <c r="M106" s="6">
        <f t="shared" si="3"/>
        <v>46040</v>
      </c>
      <c r="N106">
        <f t="shared" si="4"/>
        <v>2999</v>
      </c>
      <c r="O106" t="str">
        <f t="shared" si="5"/>
        <v>Normal Merchant Day</v>
      </c>
    </row>
    <row r="107" spans="1:15" x14ac:dyDescent="0.3">
      <c r="A107" t="s">
        <v>174</v>
      </c>
      <c r="B107">
        <v>166</v>
      </c>
      <c r="C107">
        <v>39</v>
      </c>
      <c r="D107" s="1">
        <v>46051.574305555558</v>
      </c>
      <c r="E107">
        <v>149</v>
      </c>
      <c r="F107" t="s">
        <v>66</v>
      </c>
      <c r="G107" t="s">
        <v>64</v>
      </c>
      <c r="H107">
        <v>32</v>
      </c>
      <c r="I107" t="str">
        <f>IFERROR(VLOOKUP(C107,Merchants!$A$2:$D$41,2,FALSE),"Merchant not found")</f>
        <v>Merchant_039</v>
      </c>
      <c r="J107" t="str">
        <f>IFERROR(VLOOKUP(C107,Merchants!$A$2:$D$41,3,FALSE),"Merchant not found")</f>
        <v>entertainment</v>
      </c>
      <c r="K107" t="str">
        <f>IFERROR(VLOOKUP(C107,Merchants!$A$2:$D$41,4,FALSE),"Merchant not found")</f>
        <v>North</v>
      </c>
      <c r="L107" s="2">
        <f>HLOOKUP(F107,Fee_lookup!$A$2:$E$3,2,FALSE)</f>
        <v>2.0000000000000001E-4</v>
      </c>
      <c r="M107" s="6">
        <f t="shared" si="3"/>
        <v>46051</v>
      </c>
      <c r="N107">
        <f t="shared" si="4"/>
        <v>149</v>
      </c>
      <c r="O107" t="str">
        <f t="shared" si="5"/>
        <v>Normal Merchant Day</v>
      </c>
    </row>
    <row r="108" spans="1:15" x14ac:dyDescent="0.3">
      <c r="A108" t="s">
        <v>175</v>
      </c>
      <c r="B108">
        <v>346</v>
      </c>
      <c r="C108">
        <v>37</v>
      </c>
      <c r="D108" s="1">
        <v>46023.093055555553</v>
      </c>
      <c r="E108">
        <v>99</v>
      </c>
      <c r="F108" t="s">
        <v>66</v>
      </c>
      <c r="G108" t="s">
        <v>64</v>
      </c>
      <c r="H108">
        <v>75</v>
      </c>
      <c r="I108" t="str">
        <f>IFERROR(VLOOKUP(C108,Merchants!$A$2:$D$41,2,FALSE),"Merchant not found")</f>
        <v>Merchant_037</v>
      </c>
      <c r="J108" t="str">
        <f>IFERROR(VLOOKUP(C108,Merchants!$A$2:$D$41,3,FALSE),"Merchant not found")</f>
        <v>entertainment</v>
      </c>
      <c r="K108" t="str">
        <f>IFERROR(VLOOKUP(C108,Merchants!$A$2:$D$41,4,FALSE),"Merchant not found")</f>
        <v>South</v>
      </c>
      <c r="L108" s="2">
        <f>HLOOKUP(F108,Fee_lookup!$A$2:$E$3,2,FALSE)</f>
        <v>2.0000000000000001E-4</v>
      </c>
      <c r="M108" s="6">
        <f t="shared" si="3"/>
        <v>46023</v>
      </c>
      <c r="N108">
        <f t="shared" si="4"/>
        <v>598</v>
      </c>
      <c r="O108" t="str">
        <f t="shared" si="5"/>
        <v>Normal Merchant Day</v>
      </c>
    </row>
    <row r="109" spans="1:15" x14ac:dyDescent="0.3">
      <c r="A109" t="s">
        <v>176</v>
      </c>
      <c r="B109">
        <v>138</v>
      </c>
      <c r="C109">
        <v>37</v>
      </c>
      <c r="D109" s="1">
        <v>46023.911111111112</v>
      </c>
      <c r="E109">
        <v>499</v>
      </c>
      <c r="F109" t="s">
        <v>66</v>
      </c>
      <c r="G109" t="s">
        <v>64</v>
      </c>
      <c r="H109">
        <v>5</v>
      </c>
      <c r="I109" t="str">
        <f>IFERROR(VLOOKUP(C109,Merchants!$A$2:$D$41,2,FALSE),"Merchant not found")</f>
        <v>Merchant_037</v>
      </c>
      <c r="J109" t="str">
        <f>IFERROR(VLOOKUP(C109,Merchants!$A$2:$D$41,3,FALSE),"Merchant not found")</f>
        <v>entertainment</v>
      </c>
      <c r="K109" t="str">
        <f>IFERROR(VLOOKUP(C109,Merchants!$A$2:$D$41,4,FALSE),"Merchant not found")</f>
        <v>South</v>
      </c>
      <c r="L109" s="2">
        <f>HLOOKUP(F109,Fee_lookup!$A$2:$E$3,2,FALSE)</f>
        <v>2.0000000000000001E-4</v>
      </c>
      <c r="M109" s="6">
        <f t="shared" si="3"/>
        <v>46023</v>
      </c>
      <c r="N109">
        <f t="shared" si="4"/>
        <v>598</v>
      </c>
      <c r="O109" t="str">
        <f t="shared" si="5"/>
        <v>Normal Merchant Day</v>
      </c>
    </row>
    <row r="110" spans="1:15" x14ac:dyDescent="0.3">
      <c r="A110" t="s">
        <v>177</v>
      </c>
      <c r="B110">
        <v>266</v>
      </c>
      <c r="C110">
        <v>29</v>
      </c>
      <c r="D110" s="1">
        <v>46047.229166666664</v>
      </c>
      <c r="E110">
        <v>499</v>
      </c>
      <c r="F110" t="s">
        <v>63</v>
      </c>
      <c r="G110" t="s">
        <v>79</v>
      </c>
      <c r="H110">
        <v>35</v>
      </c>
      <c r="I110" t="str">
        <f>IFERROR(VLOOKUP(C110,Merchants!$A$2:$D$41,2,FALSE),"Merchant not found")</f>
        <v>Merchant_029</v>
      </c>
      <c r="J110" t="str">
        <f>IFERROR(VLOOKUP(C110,Merchants!$A$2:$D$41,3,FALSE),"Merchant not found")</f>
        <v>ecommerce</v>
      </c>
      <c r="K110" t="str">
        <f>IFERROR(VLOOKUP(C110,Merchants!$A$2:$D$41,4,FALSE),"Merchant not found")</f>
        <v>North</v>
      </c>
      <c r="L110" s="2">
        <f>HLOOKUP(F110,Fee_lookup!$A$2:$E$3,2,FALSE)</f>
        <v>5.0000000000000001E-4</v>
      </c>
      <c r="M110" s="6">
        <f t="shared" si="3"/>
        <v>46047</v>
      </c>
      <c r="N110">
        <f t="shared" si="4"/>
        <v>3896</v>
      </c>
      <c r="O110" t="str">
        <f t="shared" si="5"/>
        <v>Normal Merchant Day</v>
      </c>
    </row>
    <row r="111" spans="1:15" x14ac:dyDescent="0.3">
      <c r="A111" t="s">
        <v>178</v>
      </c>
      <c r="B111">
        <v>326</v>
      </c>
      <c r="C111">
        <v>32</v>
      </c>
      <c r="D111" s="1">
        <v>46028.768750000003</v>
      </c>
      <c r="E111">
        <v>149</v>
      </c>
      <c r="F111" t="s">
        <v>66</v>
      </c>
      <c r="G111" t="s">
        <v>64</v>
      </c>
      <c r="H111">
        <v>11</v>
      </c>
      <c r="I111" t="str">
        <f>IFERROR(VLOOKUP(C111,Merchants!$A$2:$D$41,2,FALSE),"Merchant not found")</f>
        <v>Merchant_032</v>
      </c>
      <c r="J111" t="str">
        <f>IFERROR(VLOOKUP(C111,Merchants!$A$2:$D$41,3,FALSE),"Merchant not found")</f>
        <v>food_delivery</v>
      </c>
      <c r="K111" t="str">
        <f>IFERROR(VLOOKUP(C111,Merchants!$A$2:$D$41,4,FALSE),"Merchant not found")</f>
        <v>West</v>
      </c>
      <c r="L111" s="2">
        <f>HLOOKUP(F111,Fee_lookup!$A$2:$E$3,2,FALSE)</f>
        <v>2.0000000000000001E-4</v>
      </c>
      <c r="M111" s="6">
        <f t="shared" si="3"/>
        <v>46028</v>
      </c>
      <c r="N111">
        <f t="shared" si="4"/>
        <v>149</v>
      </c>
      <c r="O111" t="str">
        <f t="shared" si="5"/>
        <v>Normal Merchant Day</v>
      </c>
    </row>
    <row r="112" spans="1:15" x14ac:dyDescent="0.3">
      <c r="A112" t="s">
        <v>179</v>
      </c>
      <c r="B112">
        <v>171</v>
      </c>
      <c r="C112">
        <v>21</v>
      </c>
      <c r="D112" s="1">
        <v>46038.476388888892</v>
      </c>
      <c r="E112">
        <v>799</v>
      </c>
      <c r="F112" t="s">
        <v>66</v>
      </c>
      <c r="G112" t="s">
        <v>64</v>
      </c>
      <c r="H112">
        <v>85</v>
      </c>
      <c r="I112" t="str">
        <f>IFERROR(VLOOKUP(C112,Merchants!$A$2:$D$41,2,FALSE),"Merchant not found")</f>
        <v>Merchant_021</v>
      </c>
      <c r="J112" t="str">
        <f>IFERROR(VLOOKUP(C112,Merchants!$A$2:$D$41,3,FALSE),"Merchant not found")</f>
        <v>food_delivery</v>
      </c>
      <c r="K112" t="str">
        <f>IFERROR(VLOOKUP(C112,Merchants!$A$2:$D$41,4,FALSE),"Merchant not found")</f>
        <v>East</v>
      </c>
      <c r="L112" s="2">
        <f>HLOOKUP(F112,Fee_lookup!$A$2:$E$3,2,FALSE)</f>
        <v>2.0000000000000001E-4</v>
      </c>
      <c r="M112" s="6">
        <f t="shared" si="3"/>
        <v>46038</v>
      </c>
      <c r="N112">
        <f t="shared" si="4"/>
        <v>799</v>
      </c>
      <c r="O112" t="str">
        <f t="shared" si="5"/>
        <v>Normal Merchant Day</v>
      </c>
    </row>
    <row r="113" spans="1:15" x14ac:dyDescent="0.3">
      <c r="A113" t="s">
        <v>180</v>
      </c>
      <c r="B113">
        <v>211</v>
      </c>
      <c r="C113">
        <v>32</v>
      </c>
      <c r="D113" s="1">
        <v>46026.222916666666</v>
      </c>
      <c r="E113">
        <v>49</v>
      </c>
      <c r="F113" t="s">
        <v>66</v>
      </c>
      <c r="G113" t="s">
        <v>64</v>
      </c>
      <c r="H113">
        <v>36</v>
      </c>
      <c r="I113" t="str">
        <f>IFERROR(VLOOKUP(C113,Merchants!$A$2:$D$41,2,FALSE),"Merchant not found")</f>
        <v>Merchant_032</v>
      </c>
      <c r="J113" t="str">
        <f>IFERROR(VLOOKUP(C113,Merchants!$A$2:$D$41,3,FALSE),"Merchant not found")</f>
        <v>food_delivery</v>
      </c>
      <c r="K113" t="str">
        <f>IFERROR(VLOOKUP(C113,Merchants!$A$2:$D$41,4,FALSE),"Merchant not found")</f>
        <v>West</v>
      </c>
      <c r="L113" s="2">
        <f>HLOOKUP(F113,Fee_lookup!$A$2:$E$3,2,FALSE)</f>
        <v>2.0000000000000001E-4</v>
      </c>
      <c r="M113" s="6">
        <f t="shared" si="3"/>
        <v>46026</v>
      </c>
      <c r="N113">
        <f t="shared" si="4"/>
        <v>49</v>
      </c>
      <c r="O113" t="str">
        <f t="shared" si="5"/>
        <v>Normal Merchant Day</v>
      </c>
    </row>
    <row r="114" spans="1:15" x14ac:dyDescent="0.3">
      <c r="A114" t="s">
        <v>181</v>
      </c>
      <c r="B114">
        <v>282</v>
      </c>
      <c r="C114">
        <v>3</v>
      </c>
      <c r="D114" s="1">
        <v>46044.536111111112</v>
      </c>
      <c r="E114">
        <v>499</v>
      </c>
      <c r="F114" t="s">
        <v>66</v>
      </c>
      <c r="G114" t="s">
        <v>64</v>
      </c>
      <c r="H114">
        <v>58</v>
      </c>
      <c r="I114" t="str">
        <f>IFERROR(VLOOKUP(C114,Merchants!$A$2:$D$41,2,FALSE),"Merchant not found")</f>
        <v>Merchant_003</v>
      </c>
      <c r="J114" t="str">
        <f>IFERROR(VLOOKUP(C114,Merchants!$A$2:$D$41,3,FALSE),"Merchant not found")</f>
        <v>grocery</v>
      </c>
      <c r="K114" t="str">
        <f>IFERROR(VLOOKUP(C114,Merchants!$A$2:$D$41,4,FALSE),"Merchant not found")</f>
        <v>East</v>
      </c>
      <c r="L114" s="2">
        <f>HLOOKUP(F114,Fee_lookup!$A$2:$E$3,2,FALSE)</f>
        <v>2.0000000000000001E-4</v>
      </c>
      <c r="M114" s="6">
        <f t="shared" si="3"/>
        <v>46044</v>
      </c>
      <c r="N114">
        <f t="shared" si="4"/>
        <v>499</v>
      </c>
      <c r="O114" t="str">
        <f t="shared" si="5"/>
        <v>Normal Merchant Day</v>
      </c>
    </row>
    <row r="115" spans="1:15" x14ac:dyDescent="0.3">
      <c r="A115" t="s">
        <v>182</v>
      </c>
      <c r="B115">
        <v>166</v>
      </c>
      <c r="C115">
        <v>8</v>
      </c>
      <c r="D115" s="1">
        <v>46025.427777777775</v>
      </c>
      <c r="E115">
        <v>299</v>
      </c>
      <c r="F115" t="s">
        <v>66</v>
      </c>
      <c r="G115" t="s">
        <v>64</v>
      </c>
      <c r="H115">
        <v>98</v>
      </c>
      <c r="I115" t="str">
        <f>IFERROR(VLOOKUP(C115,Merchants!$A$2:$D$41,2,FALSE),"Merchant not found")</f>
        <v>Merchant_008</v>
      </c>
      <c r="J115" t="str">
        <f>IFERROR(VLOOKUP(C115,Merchants!$A$2:$D$41,3,FALSE),"Merchant not found")</f>
        <v>food_delivery</v>
      </c>
      <c r="K115" t="str">
        <f>IFERROR(VLOOKUP(C115,Merchants!$A$2:$D$41,4,FALSE),"Merchant not found")</f>
        <v>North</v>
      </c>
      <c r="L115" s="2">
        <f>HLOOKUP(F115,Fee_lookup!$A$2:$E$3,2,FALSE)</f>
        <v>2.0000000000000001E-4</v>
      </c>
      <c r="M115" s="6">
        <f t="shared" si="3"/>
        <v>46025</v>
      </c>
      <c r="N115">
        <f t="shared" si="4"/>
        <v>299</v>
      </c>
      <c r="O115" t="str">
        <f t="shared" si="5"/>
        <v>Normal Merchant Day</v>
      </c>
    </row>
    <row r="116" spans="1:15" x14ac:dyDescent="0.3">
      <c r="A116" t="s">
        <v>183</v>
      </c>
      <c r="B116">
        <v>1</v>
      </c>
      <c r="C116">
        <v>35</v>
      </c>
      <c r="D116" s="1">
        <v>46035.702777777777</v>
      </c>
      <c r="E116">
        <v>149</v>
      </c>
      <c r="F116" t="s">
        <v>66</v>
      </c>
      <c r="G116" t="s">
        <v>64</v>
      </c>
      <c r="H116">
        <v>59</v>
      </c>
      <c r="I116" t="str">
        <f>IFERROR(VLOOKUP(C116,Merchants!$A$2:$D$41,2,FALSE),"Merchant not found")</f>
        <v>Merchant_035</v>
      </c>
      <c r="J116" t="str">
        <f>IFERROR(VLOOKUP(C116,Merchants!$A$2:$D$41,3,FALSE),"Merchant not found")</f>
        <v>recharge</v>
      </c>
      <c r="K116" t="str">
        <f>IFERROR(VLOOKUP(C116,Merchants!$A$2:$D$41,4,FALSE),"Merchant not found")</f>
        <v>East</v>
      </c>
      <c r="L116" s="2">
        <f>HLOOKUP(F116,Fee_lookup!$A$2:$E$3,2,FALSE)</f>
        <v>2.0000000000000001E-4</v>
      </c>
      <c r="M116" s="6">
        <f t="shared" si="3"/>
        <v>46035</v>
      </c>
      <c r="N116">
        <f t="shared" si="4"/>
        <v>149</v>
      </c>
      <c r="O116" t="str">
        <f t="shared" si="5"/>
        <v>Normal Merchant Day</v>
      </c>
    </row>
    <row r="117" spans="1:15" x14ac:dyDescent="0.3">
      <c r="A117" t="s">
        <v>184</v>
      </c>
      <c r="B117">
        <v>266</v>
      </c>
      <c r="C117">
        <v>24</v>
      </c>
      <c r="D117" s="1">
        <v>46036.05</v>
      </c>
      <c r="E117">
        <v>499</v>
      </c>
      <c r="F117" t="s">
        <v>66</v>
      </c>
      <c r="G117" t="s">
        <v>64</v>
      </c>
      <c r="H117">
        <v>79</v>
      </c>
      <c r="I117" t="str">
        <f>IFERROR(VLOOKUP(C117,Merchants!$A$2:$D$41,2,FALSE),"Merchant not found")</f>
        <v>Merchant_024</v>
      </c>
      <c r="J117" t="str">
        <f>IFERROR(VLOOKUP(C117,Merchants!$A$2:$D$41,3,FALSE),"Merchant not found")</f>
        <v>grocery</v>
      </c>
      <c r="K117" t="str">
        <f>IFERROR(VLOOKUP(C117,Merchants!$A$2:$D$41,4,FALSE),"Merchant not found")</f>
        <v>North</v>
      </c>
      <c r="L117" s="2">
        <f>HLOOKUP(F117,Fee_lookup!$A$2:$E$3,2,FALSE)</f>
        <v>2.0000000000000001E-4</v>
      </c>
      <c r="M117" s="6">
        <f t="shared" si="3"/>
        <v>46036</v>
      </c>
      <c r="N117">
        <f t="shared" si="4"/>
        <v>499</v>
      </c>
      <c r="O117" t="str">
        <f t="shared" si="5"/>
        <v>Normal Merchant Day</v>
      </c>
    </row>
    <row r="118" spans="1:15" x14ac:dyDescent="0.3">
      <c r="A118" t="s">
        <v>185</v>
      </c>
      <c r="B118">
        <v>227</v>
      </c>
      <c r="C118">
        <v>4</v>
      </c>
      <c r="D118" s="1">
        <v>46047.652777777781</v>
      </c>
      <c r="E118">
        <v>499</v>
      </c>
      <c r="F118" t="s">
        <v>66</v>
      </c>
      <c r="G118" t="s">
        <v>64</v>
      </c>
      <c r="H118">
        <v>26</v>
      </c>
      <c r="I118" t="str">
        <f>IFERROR(VLOOKUP(C118,Merchants!$A$2:$D$41,2,FALSE),"Merchant not found")</f>
        <v>Merchant_004</v>
      </c>
      <c r="J118" t="str">
        <f>IFERROR(VLOOKUP(C118,Merchants!$A$2:$D$41,3,FALSE),"Merchant not found")</f>
        <v>ecommerce</v>
      </c>
      <c r="K118" t="str">
        <f>IFERROR(VLOOKUP(C118,Merchants!$A$2:$D$41,4,FALSE),"Merchant not found")</f>
        <v>East</v>
      </c>
      <c r="L118" s="2">
        <f>HLOOKUP(F118,Fee_lookup!$A$2:$E$3,2,FALSE)</f>
        <v>2.0000000000000001E-4</v>
      </c>
      <c r="M118" s="6">
        <f t="shared" si="3"/>
        <v>46047</v>
      </c>
      <c r="N118">
        <f t="shared" si="4"/>
        <v>1998</v>
      </c>
      <c r="O118" t="str">
        <f t="shared" si="5"/>
        <v>Normal Merchant Day</v>
      </c>
    </row>
    <row r="119" spans="1:15" x14ac:dyDescent="0.3">
      <c r="A119" t="s">
        <v>186</v>
      </c>
      <c r="B119">
        <v>148</v>
      </c>
      <c r="C119">
        <v>29</v>
      </c>
      <c r="D119" s="1">
        <v>46031.713888888888</v>
      </c>
      <c r="E119">
        <v>499</v>
      </c>
      <c r="F119" t="s">
        <v>66</v>
      </c>
      <c r="G119" t="s">
        <v>64</v>
      </c>
      <c r="H119">
        <v>89</v>
      </c>
      <c r="I119" t="str">
        <f>IFERROR(VLOOKUP(C119,Merchants!$A$2:$D$41,2,FALSE),"Merchant not found")</f>
        <v>Merchant_029</v>
      </c>
      <c r="J119" t="str">
        <f>IFERROR(VLOOKUP(C119,Merchants!$A$2:$D$41,3,FALSE),"Merchant not found")</f>
        <v>ecommerce</v>
      </c>
      <c r="K119" t="str">
        <f>IFERROR(VLOOKUP(C119,Merchants!$A$2:$D$41,4,FALSE),"Merchant not found")</f>
        <v>North</v>
      </c>
      <c r="L119" s="2">
        <f>HLOOKUP(F119,Fee_lookup!$A$2:$E$3,2,FALSE)</f>
        <v>2.0000000000000001E-4</v>
      </c>
      <c r="M119" s="6">
        <f t="shared" si="3"/>
        <v>46031</v>
      </c>
      <c r="N119">
        <f t="shared" si="4"/>
        <v>499</v>
      </c>
      <c r="O119" t="str">
        <f t="shared" si="5"/>
        <v>Normal Merchant Day</v>
      </c>
    </row>
    <row r="120" spans="1:15" x14ac:dyDescent="0.3">
      <c r="A120" t="s">
        <v>187</v>
      </c>
      <c r="B120">
        <v>323</v>
      </c>
      <c r="C120">
        <v>39</v>
      </c>
      <c r="D120" s="1">
        <v>46038.125694444447</v>
      </c>
      <c r="E120">
        <v>499</v>
      </c>
      <c r="F120" t="s">
        <v>66</v>
      </c>
      <c r="G120" t="s">
        <v>64</v>
      </c>
      <c r="H120">
        <v>30</v>
      </c>
      <c r="I120" t="str">
        <f>IFERROR(VLOOKUP(C120,Merchants!$A$2:$D$41,2,FALSE),"Merchant not found")</f>
        <v>Merchant_039</v>
      </c>
      <c r="J120" t="str">
        <f>IFERROR(VLOOKUP(C120,Merchants!$A$2:$D$41,3,FALSE),"Merchant not found")</f>
        <v>entertainment</v>
      </c>
      <c r="K120" t="str">
        <f>IFERROR(VLOOKUP(C120,Merchants!$A$2:$D$41,4,FALSE),"Merchant not found")</f>
        <v>North</v>
      </c>
      <c r="L120" s="2">
        <f>HLOOKUP(F120,Fee_lookup!$A$2:$E$3,2,FALSE)</f>
        <v>2.0000000000000001E-4</v>
      </c>
      <c r="M120" s="6">
        <f t="shared" si="3"/>
        <v>46038</v>
      </c>
      <c r="N120">
        <f t="shared" si="4"/>
        <v>499</v>
      </c>
      <c r="O120" t="str">
        <f t="shared" si="5"/>
        <v>Normal Merchant Day</v>
      </c>
    </row>
    <row r="121" spans="1:15" x14ac:dyDescent="0.3">
      <c r="A121" t="s">
        <v>188</v>
      </c>
      <c r="B121">
        <v>283</v>
      </c>
      <c r="C121">
        <v>1</v>
      </c>
      <c r="D121" s="1">
        <v>46045.22152777778</v>
      </c>
      <c r="E121">
        <v>2999</v>
      </c>
      <c r="F121" t="s">
        <v>63</v>
      </c>
      <c r="G121" t="s">
        <v>64</v>
      </c>
      <c r="H121">
        <v>70</v>
      </c>
      <c r="I121" t="str">
        <f>IFERROR(VLOOKUP(C121,Merchants!$A$2:$D$41,2,FALSE),"Merchant not found")</f>
        <v>Merchant_001</v>
      </c>
      <c r="J121" t="str">
        <f>IFERROR(VLOOKUP(C121,Merchants!$A$2:$D$41,3,FALSE),"Merchant not found")</f>
        <v>ecommerce</v>
      </c>
      <c r="K121" t="str">
        <f>IFERROR(VLOOKUP(C121,Merchants!$A$2:$D$41,4,FALSE),"Merchant not found")</f>
        <v>South</v>
      </c>
      <c r="L121" s="2">
        <f>HLOOKUP(F121,Fee_lookup!$A$2:$E$3,2,FALSE)</f>
        <v>5.0000000000000001E-4</v>
      </c>
      <c r="M121" s="6">
        <f t="shared" si="3"/>
        <v>46045</v>
      </c>
      <c r="N121">
        <f t="shared" si="4"/>
        <v>3148</v>
      </c>
      <c r="O121" t="str">
        <f t="shared" si="5"/>
        <v>Normal Merchant Day</v>
      </c>
    </row>
    <row r="122" spans="1:15" x14ac:dyDescent="0.3">
      <c r="A122" t="s">
        <v>189</v>
      </c>
      <c r="B122">
        <v>59</v>
      </c>
      <c r="C122">
        <v>30</v>
      </c>
      <c r="D122" s="1">
        <v>46036.093055555553</v>
      </c>
      <c r="E122">
        <v>499</v>
      </c>
      <c r="F122" t="s">
        <v>66</v>
      </c>
      <c r="G122" t="s">
        <v>64</v>
      </c>
      <c r="H122">
        <v>15</v>
      </c>
      <c r="I122" t="str">
        <f>IFERROR(VLOOKUP(C122,Merchants!$A$2:$D$41,2,FALSE),"Merchant not found")</f>
        <v>Merchant_030</v>
      </c>
      <c r="J122" t="str">
        <f>IFERROR(VLOOKUP(C122,Merchants!$A$2:$D$41,3,FALSE),"Merchant not found")</f>
        <v>travel</v>
      </c>
      <c r="K122" t="str">
        <f>IFERROR(VLOOKUP(C122,Merchants!$A$2:$D$41,4,FALSE),"Merchant not found")</f>
        <v>West</v>
      </c>
      <c r="L122" s="2">
        <f>HLOOKUP(F122,Fee_lookup!$A$2:$E$3,2,FALSE)</f>
        <v>2.0000000000000001E-4</v>
      </c>
      <c r="M122" s="6">
        <f t="shared" si="3"/>
        <v>46036</v>
      </c>
      <c r="N122">
        <f t="shared" si="4"/>
        <v>2497</v>
      </c>
      <c r="O122" t="str">
        <f t="shared" si="5"/>
        <v>Normal Merchant Day</v>
      </c>
    </row>
    <row r="123" spans="1:15" x14ac:dyDescent="0.3">
      <c r="A123" t="s">
        <v>190</v>
      </c>
      <c r="B123">
        <v>150</v>
      </c>
      <c r="C123">
        <v>33</v>
      </c>
      <c r="D123" s="1">
        <v>46043.188194444447</v>
      </c>
      <c r="E123">
        <v>2999</v>
      </c>
      <c r="F123" t="s">
        <v>66</v>
      </c>
      <c r="G123" t="s">
        <v>64</v>
      </c>
      <c r="H123">
        <v>90</v>
      </c>
      <c r="I123" t="str">
        <f>IFERROR(VLOOKUP(C123,Merchants!$A$2:$D$41,2,FALSE),"Merchant not found")</f>
        <v>Merchant_033</v>
      </c>
      <c r="J123" t="str">
        <f>IFERROR(VLOOKUP(C123,Merchants!$A$2:$D$41,3,FALSE),"Merchant not found")</f>
        <v>bill_payment</v>
      </c>
      <c r="K123" t="str">
        <f>IFERROR(VLOOKUP(C123,Merchants!$A$2:$D$41,4,FALSE),"Merchant not found")</f>
        <v>East</v>
      </c>
      <c r="L123" s="2">
        <f>HLOOKUP(F123,Fee_lookup!$A$2:$E$3,2,FALSE)</f>
        <v>2.0000000000000001E-4</v>
      </c>
      <c r="M123" s="6">
        <f t="shared" si="3"/>
        <v>46043</v>
      </c>
      <c r="N123">
        <f t="shared" si="4"/>
        <v>3298</v>
      </c>
      <c r="O123" t="str">
        <f t="shared" si="5"/>
        <v>Normal Merchant Day</v>
      </c>
    </row>
    <row r="124" spans="1:15" x14ac:dyDescent="0.3">
      <c r="A124" t="s">
        <v>191</v>
      </c>
      <c r="B124">
        <v>248</v>
      </c>
      <c r="C124">
        <v>31</v>
      </c>
      <c r="D124" s="1">
        <v>46031.578472222223</v>
      </c>
      <c r="E124">
        <v>1499</v>
      </c>
      <c r="F124" t="s">
        <v>66</v>
      </c>
      <c r="G124" t="s">
        <v>79</v>
      </c>
      <c r="H124">
        <v>31</v>
      </c>
      <c r="I124" t="str">
        <f>IFERROR(VLOOKUP(C124,Merchants!$A$2:$D$41,2,FALSE),"Merchant not found")</f>
        <v>Merchant_031</v>
      </c>
      <c r="J124" t="str">
        <f>IFERROR(VLOOKUP(C124,Merchants!$A$2:$D$41,3,FALSE),"Merchant not found")</f>
        <v>bill_payment</v>
      </c>
      <c r="K124" t="str">
        <f>IFERROR(VLOOKUP(C124,Merchants!$A$2:$D$41,4,FALSE),"Merchant not found")</f>
        <v>East</v>
      </c>
      <c r="L124" s="2">
        <f>HLOOKUP(F124,Fee_lookup!$A$2:$E$3,2,FALSE)</f>
        <v>2.0000000000000001E-4</v>
      </c>
      <c r="M124" s="6">
        <f t="shared" si="3"/>
        <v>46031</v>
      </c>
      <c r="N124">
        <f t="shared" si="4"/>
        <v>1499</v>
      </c>
      <c r="O124" t="str">
        <f t="shared" si="5"/>
        <v>Normal Merchant Day</v>
      </c>
    </row>
    <row r="125" spans="1:15" x14ac:dyDescent="0.3">
      <c r="A125" t="s">
        <v>192</v>
      </c>
      <c r="B125">
        <v>197</v>
      </c>
      <c r="C125">
        <v>13</v>
      </c>
      <c r="D125" s="1">
        <v>46037.714583333334</v>
      </c>
      <c r="E125">
        <v>49</v>
      </c>
      <c r="F125" t="s">
        <v>66</v>
      </c>
      <c r="G125" t="s">
        <v>64</v>
      </c>
      <c r="H125">
        <v>76</v>
      </c>
      <c r="I125" t="str">
        <f>IFERROR(VLOOKUP(C125,Merchants!$A$2:$D$41,2,FALSE),"Merchant not found")</f>
        <v>Merchant_013</v>
      </c>
      <c r="J125" t="str">
        <f>IFERROR(VLOOKUP(C125,Merchants!$A$2:$D$41,3,FALSE),"Merchant not found")</f>
        <v>travel</v>
      </c>
      <c r="K125" t="str">
        <f>IFERROR(VLOOKUP(C125,Merchants!$A$2:$D$41,4,FALSE),"Merchant not found")</f>
        <v>East</v>
      </c>
      <c r="L125" s="2">
        <f>HLOOKUP(F125,Fee_lookup!$A$2:$E$3,2,FALSE)</f>
        <v>2.0000000000000001E-4</v>
      </c>
      <c r="M125" s="6">
        <f t="shared" si="3"/>
        <v>46037</v>
      </c>
      <c r="N125">
        <f t="shared" si="4"/>
        <v>49</v>
      </c>
      <c r="O125" t="str">
        <f t="shared" si="5"/>
        <v>Normal Merchant Day</v>
      </c>
    </row>
    <row r="126" spans="1:15" x14ac:dyDescent="0.3">
      <c r="A126" t="s">
        <v>193</v>
      </c>
      <c r="B126">
        <v>70</v>
      </c>
      <c r="C126">
        <v>5</v>
      </c>
      <c r="D126" s="1">
        <v>46039.99722222222</v>
      </c>
      <c r="E126">
        <v>499</v>
      </c>
      <c r="F126" t="s">
        <v>66</v>
      </c>
      <c r="G126" t="s">
        <v>64</v>
      </c>
      <c r="H126">
        <v>35</v>
      </c>
      <c r="I126" t="str">
        <f>IFERROR(VLOOKUP(C126,Merchants!$A$2:$D$41,2,FALSE),"Merchant not found")</f>
        <v>Merchant_005</v>
      </c>
      <c r="J126" t="str">
        <f>IFERROR(VLOOKUP(C126,Merchants!$A$2:$D$41,3,FALSE),"Merchant not found")</f>
        <v>recharge</v>
      </c>
      <c r="K126" t="str">
        <f>IFERROR(VLOOKUP(C126,Merchants!$A$2:$D$41,4,FALSE),"Merchant not found")</f>
        <v>South</v>
      </c>
      <c r="L126" s="2">
        <f>HLOOKUP(F126,Fee_lookup!$A$2:$E$3,2,FALSE)</f>
        <v>2.0000000000000001E-4</v>
      </c>
      <c r="M126" s="6">
        <f t="shared" si="3"/>
        <v>46039</v>
      </c>
      <c r="N126">
        <f t="shared" si="4"/>
        <v>499</v>
      </c>
      <c r="O126" t="str">
        <f t="shared" si="5"/>
        <v>Normal Merchant Day</v>
      </c>
    </row>
    <row r="127" spans="1:15" x14ac:dyDescent="0.3">
      <c r="A127" t="s">
        <v>194</v>
      </c>
      <c r="B127">
        <v>260</v>
      </c>
      <c r="C127">
        <v>18</v>
      </c>
      <c r="D127" s="1">
        <v>46047.556250000001</v>
      </c>
      <c r="E127">
        <v>1499</v>
      </c>
      <c r="F127" t="s">
        <v>66</v>
      </c>
      <c r="G127" t="s">
        <v>64</v>
      </c>
      <c r="H127">
        <v>0</v>
      </c>
      <c r="I127" t="str">
        <f>IFERROR(VLOOKUP(C127,Merchants!$A$2:$D$41,2,FALSE),"Merchant not found")</f>
        <v>Merchant_018</v>
      </c>
      <c r="J127" t="str">
        <f>IFERROR(VLOOKUP(C127,Merchants!$A$2:$D$41,3,FALSE),"Merchant not found")</f>
        <v>grocery</v>
      </c>
      <c r="K127" t="str">
        <f>IFERROR(VLOOKUP(C127,Merchants!$A$2:$D$41,4,FALSE),"Merchant not found")</f>
        <v>West</v>
      </c>
      <c r="L127" s="2">
        <f>HLOOKUP(F127,Fee_lookup!$A$2:$E$3,2,FALSE)</f>
        <v>2.0000000000000001E-4</v>
      </c>
      <c r="M127" s="6">
        <f t="shared" si="3"/>
        <v>46047</v>
      </c>
      <c r="N127">
        <f t="shared" si="4"/>
        <v>1648</v>
      </c>
      <c r="O127" t="str">
        <f t="shared" si="5"/>
        <v>Normal Merchant Day</v>
      </c>
    </row>
    <row r="128" spans="1:15" x14ac:dyDescent="0.3">
      <c r="A128" t="s">
        <v>195</v>
      </c>
      <c r="B128">
        <v>301</v>
      </c>
      <c r="C128">
        <v>38</v>
      </c>
      <c r="D128" s="1">
        <v>46032.97152777778</v>
      </c>
      <c r="E128">
        <v>99</v>
      </c>
      <c r="F128" t="s">
        <v>66</v>
      </c>
      <c r="G128" t="s">
        <v>64</v>
      </c>
      <c r="H128">
        <v>84</v>
      </c>
      <c r="I128" t="str">
        <f>IFERROR(VLOOKUP(C128,Merchants!$A$2:$D$41,2,FALSE),"Merchant not found")</f>
        <v>Merchant_038</v>
      </c>
      <c r="J128" t="str">
        <f>IFERROR(VLOOKUP(C128,Merchants!$A$2:$D$41,3,FALSE),"Merchant not found")</f>
        <v>grocery</v>
      </c>
      <c r="K128" t="str">
        <f>IFERROR(VLOOKUP(C128,Merchants!$A$2:$D$41,4,FALSE),"Merchant not found")</f>
        <v>East</v>
      </c>
      <c r="L128" s="2">
        <f>HLOOKUP(F128,Fee_lookup!$A$2:$E$3,2,FALSE)</f>
        <v>2.0000000000000001E-4</v>
      </c>
      <c r="M128" s="6">
        <f t="shared" si="3"/>
        <v>46032</v>
      </c>
      <c r="N128">
        <f t="shared" si="4"/>
        <v>398</v>
      </c>
      <c r="O128" t="str">
        <f t="shared" si="5"/>
        <v>Normal Merchant Day</v>
      </c>
    </row>
    <row r="129" spans="1:15" x14ac:dyDescent="0.3">
      <c r="A129" t="s">
        <v>196</v>
      </c>
      <c r="B129">
        <v>276</v>
      </c>
      <c r="C129">
        <v>31</v>
      </c>
      <c r="D129" s="1">
        <v>46038.186111111114</v>
      </c>
      <c r="E129">
        <v>499</v>
      </c>
      <c r="F129" t="s">
        <v>78</v>
      </c>
      <c r="G129" t="s">
        <v>64</v>
      </c>
      <c r="H129">
        <v>44</v>
      </c>
      <c r="I129" t="str">
        <f>IFERROR(VLOOKUP(C129,Merchants!$A$2:$D$41,2,FALSE),"Merchant not found")</f>
        <v>Merchant_031</v>
      </c>
      <c r="J129" t="str">
        <f>IFERROR(VLOOKUP(C129,Merchants!$A$2:$D$41,3,FALSE),"Merchant not found")</f>
        <v>bill_payment</v>
      </c>
      <c r="K129" t="str">
        <f>IFERROR(VLOOKUP(C129,Merchants!$A$2:$D$41,4,FALSE),"Merchant not found")</f>
        <v>East</v>
      </c>
      <c r="L129" s="2">
        <f>HLOOKUP(F129,Fee_lookup!$A$2:$E$3,2,FALSE)</f>
        <v>1.4999999999999999E-2</v>
      </c>
      <c r="M129" s="6">
        <f t="shared" si="3"/>
        <v>46038</v>
      </c>
      <c r="N129">
        <f t="shared" si="4"/>
        <v>499</v>
      </c>
      <c r="O129" t="str">
        <f t="shared" si="5"/>
        <v>Normal Merchant Day</v>
      </c>
    </row>
    <row r="130" spans="1:15" x14ac:dyDescent="0.3">
      <c r="A130" t="s">
        <v>197</v>
      </c>
      <c r="B130">
        <v>279</v>
      </c>
      <c r="C130">
        <v>25</v>
      </c>
      <c r="D130" s="1">
        <v>46033.741666666669</v>
      </c>
      <c r="E130">
        <v>799</v>
      </c>
      <c r="F130" t="s">
        <v>66</v>
      </c>
      <c r="G130" t="s">
        <v>64</v>
      </c>
      <c r="H130">
        <v>58</v>
      </c>
      <c r="I130" t="str">
        <f>IFERROR(VLOOKUP(C130,Merchants!$A$2:$D$41,2,FALSE),"Merchant not found")</f>
        <v>Merchant_025</v>
      </c>
      <c r="J130" t="str">
        <f>IFERROR(VLOOKUP(C130,Merchants!$A$2:$D$41,3,FALSE),"Merchant not found")</f>
        <v>travel</v>
      </c>
      <c r="K130" t="str">
        <f>IFERROR(VLOOKUP(C130,Merchants!$A$2:$D$41,4,FALSE),"Merchant not found")</f>
        <v>South</v>
      </c>
      <c r="L130" s="2">
        <f>HLOOKUP(F130,Fee_lookup!$A$2:$E$3,2,FALSE)</f>
        <v>2.0000000000000001E-4</v>
      </c>
      <c r="M130" s="6">
        <f t="shared" si="3"/>
        <v>46033</v>
      </c>
      <c r="N130">
        <f t="shared" si="4"/>
        <v>799</v>
      </c>
      <c r="O130" t="str">
        <f t="shared" si="5"/>
        <v>Normal Merchant Day</v>
      </c>
    </row>
    <row r="131" spans="1:15" x14ac:dyDescent="0.3">
      <c r="A131" t="s">
        <v>198</v>
      </c>
      <c r="B131">
        <v>97</v>
      </c>
      <c r="C131">
        <v>16</v>
      </c>
      <c r="D131" s="1">
        <v>46052.454861111109</v>
      </c>
      <c r="E131">
        <v>799</v>
      </c>
      <c r="F131" t="s">
        <v>78</v>
      </c>
      <c r="G131" t="s">
        <v>64</v>
      </c>
      <c r="H131">
        <v>73</v>
      </c>
      <c r="I131" t="str">
        <f>IFERROR(VLOOKUP(C131,Merchants!$A$2:$D$41,2,FALSE),"Merchant not found")</f>
        <v>Merchant_016</v>
      </c>
      <c r="J131" t="str">
        <f>IFERROR(VLOOKUP(C131,Merchants!$A$2:$D$41,3,FALSE),"Merchant not found")</f>
        <v>bill_payment</v>
      </c>
      <c r="K131" t="str">
        <f>IFERROR(VLOOKUP(C131,Merchants!$A$2:$D$41,4,FALSE),"Merchant not found")</f>
        <v>West</v>
      </c>
      <c r="L131" s="2">
        <f>HLOOKUP(F131,Fee_lookup!$A$2:$E$3,2,FALSE)</f>
        <v>1.4999999999999999E-2</v>
      </c>
      <c r="M131" s="6">
        <f t="shared" ref="M131:M194" si="6">INT(D131)</f>
        <v>46052</v>
      </c>
      <c r="N131">
        <f t="shared" ref="N131:N194" si="7">SUMIFS($E:$E,$C:$C,C131,$M:$M,M131)</f>
        <v>898</v>
      </c>
      <c r="O131" t="str">
        <f t="shared" ref="O131:O194" si="8">IF(AND(N131&gt;5000,K131&lt;&gt;"East"),"High-Value Merchant Day","Normal Merchant Day")</f>
        <v>Normal Merchant Day</v>
      </c>
    </row>
    <row r="132" spans="1:15" x14ac:dyDescent="0.3">
      <c r="A132" t="s">
        <v>199</v>
      </c>
      <c r="B132">
        <v>211</v>
      </c>
      <c r="C132">
        <v>3</v>
      </c>
      <c r="D132" s="1">
        <v>46035.32916666667</v>
      </c>
      <c r="E132">
        <v>149</v>
      </c>
      <c r="F132" t="s">
        <v>66</v>
      </c>
      <c r="G132" t="s">
        <v>92</v>
      </c>
      <c r="H132">
        <v>40</v>
      </c>
      <c r="I132" t="str">
        <f>IFERROR(VLOOKUP(C132,Merchants!$A$2:$D$41,2,FALSE),"Merchant not found")</f>
        <v>Merchant_003</v>
      </c>
      <c r="J132" t="str">
        <f>IFERROR(VLOOKUP(C132,Merchants!$A$2:$D$41,3,FALSE),"Merchant not found")</f>
        <v>grocery</v>
      </c>
      <c r="K132" t="str">
        <f>IFERROR(VLOOKUP(C132,Merchants!$A$2:$D$41,4,FALSE),"Merchant not found")</f>
        <v>East</v>
      </c>
      <c r="L132" s="2">
        <f>HLOOKUP(F132,Fee_lookup!$A$2:$E$3,2,FALSE)</f>
        <v>2.0000000000000001E-4</v>
      </c>
      <c r="M132" s="6">
        <f t="shared" si="6"/>
        <v>46035</v>
      </c>
      <c r="N132">
        <f t="shared" si="7"/>
        <v>198</v>
      </c>
      <c r="O132" t="str">
        <f t="shared" si="8"/>
        <v>Normal Merchant Day</v>
      </c>
    </row>
    <row r="133" spans="1:15" x14ac:dyDescent="0.3">
      <c r="A133" t="s">
        <v>200</v>
      </c>
      <c r="B133">
        <v>196</v>
      </c>
      <c r="C133">
        <v>25</v>
      </c>
      <c r="D133" s="1">
        <v>46046.65625</v>
      </c>
      <c r="E133">
        <v>149</v>
      </c>
      <c r="F133" t="s">
        <v>69</v>
      </c>
      <c r="G133" t="s">
        <v>64</v>
      </c>
      <c r="H133">
        <v>84</v>
      </c>
      <c r="I133" t="str">
        <f>IFERROR(VLOOKUP(C133,Merchants!$A$2:$D$41,2,FALSE),"Merchant not found")</f>
        <v>Merchant_025</v>
      </c>
      <c r="J133" t="str">
        <f>IFERROR(VLOOKUP(C133,Merchants!$A$2:$D$41,3,FALSE),"Merchant not found")</f>
        <v>travel</v>
      </c>
      <c r="K133" t="str">
        <f>IFERROR(VLOOKUP(C133,Merchants!$A$2:$D$41,4,FALSE),"Merchant not found")</f>
        <v>South</v>
      </c>
      <c r="L133" s="2">
        <f>HLOOKUP(F133,Fee_lookup!$A$2:$E$3,2,FALSE)</f>
        <v>0.01</v>
      </c>
      <c r="M133" s="6">
        <f t="shared" si="6"/>
        <v>46046</v>
      </c>
      <c r="N133">
        <f t="shared" si="7"/>
        <v>497</v>
      </c>
      <c r="O133" t="str">
        <f t="shared" si="8"/>
        <v>Normal Merchant Day</v>
      </c>
    </row>
    <row r="134" spans="1:15" x14ac:dyDescent="0.3">
      <c r="A134" t="s">
        <v>201</v>
      </c>
      <c r="B134">
        <v>254</v>
      </c>
      <c r="C134">
        <v>3</v>
      </c>
      <c r="D134" s="1">
        <v>46048.839583333334</v>
      </c>
      <c r="E134">
        <v>149</v>
      </c>
      <c r="F134" t="s">
        <v>78</v>
      </c>
      <c r="G134" t="s">
        <v>64</v>
      </c>
      <c r="H134">
        <v>16</v>
      </c>
      <c r="I134" t="str">
        <f>IFERROR(VLOOKUP(C134,Merchants!$A$2:$D$41,2,FALSE),"Merchant not found")</f>
        <v>Merchant_003</v>
      </c>
      <c r="J134" t="str">
        <f>IFERROR(VLOOKUP(C134,Merchants!$A$2:$D$41,3,FALSE),"Merchant not found")</f>
        <v>grocery</v>
      </c>
      <c r="K134" t="str">
        <f>IFERROR(VLOOKUP(C134,Merchants!$A$2:$D$41,4,FALSE),"Merchant not found")</f>
        <v>East</v>
      </c>
      <c r="L134" s="2">
        <f>HLOOKUP(F134,Fee_lookup!$A$2:$E$3,2,FALSE)</f>
        <v>1.4999999999999999E-2</v>
      </c>
      <c r="M134" s="6">
        <f t="shared" si="6"/>
        <v>46048</v>
      </c>
      <c r="N134">
        <f t="shared" si="7"/>
        <v>149</v>
      </c>
      <c r="O134" t="str">
        <f t="shared" si="8"/>
        <v>Normal Merchant Day</v>
      </c>
    </row>
    <row r="135" spans="1:15" x14ac:dyDescent="0.3">
      <c r="A135" t="s">
        <v>202</v>
      </c>
      <c r="B135">
        <v>52</v>
      </c>
      <c r="C135">
        <v>29</v>
      </c>
      <c r="D135" s="1">
        <v>46039.76458333333</v>
      </c>
      <c r="E135">
        <v>49</v>
      </c>
      <c r="F135" t="s">
        <v>69</v>
      </c>
      <c r="G135" t="s">
        <v>64</v>
      </c>
      <c r="H135">
        <v>12</v>
      </c>
      <c r="I135" t="str">
        <f>IFERROR(VLOOKUP(C135,Merchants!$A$2:$D$41,2,FALSE),"Merchant not found")</f>
        <v>Merchant_029</v>
      </c>
      <c r="J135" t="str">
        <f>IFERROR(VLOOKUP(C135,Merchants!$A$2:$D$41,3,FALSE),"Merchant not found")</f>
        <v>ecommerce</v>
      </c>
      <c r="K135" t="str">
        <f>IFERROR(VLOOKUP(C135,Merchants!$A$2:$D$41,4,FALSE),"Merchant not found")</f>
        <v>North</v>
      </c>
      <c r="L135" s="2">
        <f>HLOOKUP(F135,Fee_lookup!$A$2:$E$3,2,FALSE)</f>
        <v>0.01</v>
      </c>
      <c r="M135" s="6">
        <f t="shared" si="6"/>
        <v>46039</v>
      </c>
      <c r="N135">
        <f t="shared" si="7"/>
        <v>49</v>
      </c>
      <c r="O135" t="str">
        <f t="shared" si="8"/>
        <v>Normal Merchant Day</v>
      </c>
    </row>
    <row r="136" spans="1:15" x14ac:dyDescent="0.3">
      <c r="A136" t="s">
        <v>203</v>
      </c>
      <c r="B136">
        <v>74</v>
      </c>
      <c r="C136">
        <v>27</v>
      </c>
      <c r="D136" s="1">
        <v>46039.583333333336</v>
      </c>
      <c r="E136">
        <v>799</v>
      </c>
      <c r="F136" t="s">
        <v>66</v>
      </c>
      <c r="G136" t="s">
        <v>64</v>
      </c>
      <c r="H136">
        <v>83</v>
      </c>
      <c r="I136" t="str">
        <f>IFERROR(VLOOKUP(C136,Merchants!$A$2:$D$41,2,FALSE),"Merchant not found")</f>
        <v>Merchant_027</v>
      </c>
      <c r="J136" t="str">
        <f>IFERROR(VLOOKUP(C136,Merchants!$A$2:$D$41,3,FALSE),"Merchant not found")</f>
        <v>ecommerce</v>
      </c>
      <c r="K136" t="str">
        <f>IFERROR(VLOOKUP(C136,Merchants!$A$2:$D$41,4,FALSE),"Merchant not found")</f>
        <v>North</v>
      </c>
      <c r="L136" s="2">
        <f>HLOOKUP(F136,Fee_lookup!$A$2:$E$3,2,FALSE)</f>
        <v>2.0000000000000001E-4</v>
      </c>
      <c r="M136" s="6">
        <f t="shared" si="6"/>
        <v>46039</v>
      </c>
      <c r="N136">
        <f t="shared" si="7"/>
        <v>1597</v>
      </c>
      <c r="O136" t="str">
        <f t="shared" si="8"/>
        <v>Normal Merchant Day</v>
      </c>
    </row>
    <row r="137" spans="1:15" x14ac:dyDescent="0.3">
      <c r="A137" t="s">
        <v>204</v>
      </c>
      <c r="B137">
        <v>136</v>
      </c>
      <c r="C137">
        <v>22</v>
      </c>
      <c r="D137" s="1">
        <v>46027.104166666664</v>
      </c>
      <c r="E137">
        <v>149</v>
      </c>
      <c r="F137" t="s">
        <v>66</v>
      </c>
      <c r="G137" t="s">
        <v>64</v>
      </c>
      <c r="H137">
        <v>79</v>
      </c>
      <c r="I137" t="str">
        <f>IFERROR(VLOOKUP(C137,Merchants!$A$2:$D$41,2,FALSE),"Merchant not found")</f>
        <v>Merchant_022</v>
      </c>
      <c r="J137" t="str">
        <f>IFERROR(VLOOKUP(C137,Merchants!$A$2:$D$41,3,FALSE),"Merchant not found")</f>
        <v>travel</v>
      </c>
      <c r="K137" t="str">
        <f>IFERROR(VLOOKUP(C137,Merchants!$A$2:$D$41,4,FALSE),"Merchant not found")</f>
        <v>South</v>
      </c>
      <c r="L137" s="2">
        <f>HLOOKUP(F137,Fee_lookup!$A$2:$E$3,2,FALSE)</f>
        <v>2.0000000000000001E-4</v>
      </c>
      <c r="M137" s="6">
        <f t="shared" si="6"/>
        <v>46027</v>
      </c>
      <c r="N137">
        <f t="shared" si="7"/>
        <v>448</v>
      </c>
      <c r="O137" t="str">
        <f t="shared" si="8"/>
        <v>Normal Merchant Day</v>
      </c>
    </row>
    <row r="138" spans="1:15" x14ac:dyDescent="0.3">
      <c r="A138" t="s">
        <v>205</v>
      </c>
      <c r="B138">
        <v>42</v>
      </c>
      <c r="C138">
        <v>22</v>
      </c>
      <c r="D138" s="1">
        <v>46045.52847222222</v>
      </c>
      <c r="E138">
        <v>49</v>
      </c>
      <c r="F138" t="s">
        <v>66</v>
      </c>
      <c r="G138" t="s">
        <v>64</v>
      </c>
      <c r="H138">
        <v>86</v>
      </c>
      <c r="I138" t="str">
        <f>IFERROR(VLOOKUP(C138,Merchants!$A$2:$D$41,2,FALSE),"Merchant not found")</f>
        <v>Merchant_022</v>
      </c>
      <c r="J138" t="str">
        <f>IFERROR(VLOOKUP(C138,Merchants!$A$2:$D$41,3,FALSE),"Merchant not found")</f>
        <v>travel</v>
      </c>
      <c r="K138" t="str">
        <f>IFERROR(VLOOKUP(C138,Merchants!$A$2:$D$41,4,FALSE),"Merchant not found")</f>
        <v>South</v>
      </c>
      <c r="L138" s="2">
        <f>HLOOKUP(F138,Fee_lookup!$A$2:$E$3,2,FALSE)</f>
        <v>2.0000000000000001E-4</v>
      </c>
      <c r="M138" s="6">
        <f t="shared" si="6"/>
        <v>46045</v>
      </c>
      <c r="N138">
        <f t="shared" si="7"/>
        <v>49</v>
      </c>
      <c r="O138" t="str">
        <f t="shared" si="8"/>
        <v>Normal Merchant Day</v>
      </c>
    </row>
    <row r="139" spans="1:15" x14ac:dyDescent="0.3">
      <c r="A139" t="s">
        <v>206</v>
      </c>
      <c r="B139">
        <v>163</v>
      </c>
      <c r="C139">
        <v>32</v>
      </c>
      <c r="D139" s="1">
        <v>46050.724999999999</v>
      </c>
      <c r="E139">
        <v>2999</v>
      </c>
      <c r="F139" t="s">
        <v>63</v>
      </c>
      <c r="G139" t="s">
        <v>79</v>
      </c>
      <c r="H139">
        <v>69</v>
      </c>
      <c r="I139" t="str">
        <f>IFERROR(VLOOKUP(C139,Merchants!$A$2:$D$41,2,FALSE),"Merchant not found")</f>
        <v>Merchant_032</v>
      </c>
      <c r="J139" t="str">
        <f>IFERROR(VLOOKUP(C139,Merchants!$A$2:$D$41,3,FALSE),"Merchant not found")</f>
        <v>food_delivery</v>
      </c>
      <c r="K139" t="str">
        <f>IFERROR(VLOOKUP(C139,Merchants!$A$2:$D$41,4,FALSE),"Merchant not found")</f>
        <v>West</v>
      </c>
      <c r="L139" s="2">
        <f>HLOOKUP(F139,Fee_lookup!$A$2:$E$3,2,FALSE)</f>
        <v>5.0000000000000001E-4</v>
      </c>
      <c r="M139" s="6">
        <f t="shared" si="6"/>
        <v>46050</v>
      </c>
      <c r="N139">
        <f t="shared" si="7"/>
        <v>2999</v>
      </c>
      <c r="O139" t="str">
        <f t="shared" si="8"/>
        <v>Normal Merchant Day</v>
      </c>
    </row>
    <row r="140" spans="1:15" x14ac:dyDescent="0.3">
      <c r="A140" t="s">
        <v>207</v>
      </c>
      <c r="B140">
        <v>121</v>
      </c>
      <c r="C140">
        <v>19</v>
      </c>
      <c r="D140" s="1">
        <v>46024.794444444444</v>
      </c>
      <c r="E140">
        <v>149</v>
      </c>
      <c r="F140" t="s">
        <v>66</v>
      </c>
      <c r="G140" t="s">
        <v>64</v>
      </c>
      <c r="H140">
        <v>29</v>
      </c>
      <c r="I140" t="str">
        <f>IFERROR(VLOOKUP(C140,Merchants!$A$2:$D$41,2,FALSE),"Merchant not found")</f>
        <v>Merchant_019</v>
      </c>
      <c r="J140" t="str">
        <f>IFERROR(VLOOKUP(C140,Merchants!$A$2:$D$41,3,FALSE),"Merchant not found")</f>
        <v>grocery</v>
      </c>
      <c r="K140" t="str">
        <f>IFERROR(VLOOKUP(C140,Merchants!$A$2:$D$41,4,FALSE),"Merchant not found")</f>
        <v>North</v>
      </c>
      <c r="L140" s="2">
        <f>HLOOKUP(F140,Fee_lookup!$A$2:$E$3,2,FALSE)</f>
        <v>2.0000000000000001E-4</v>
      </c>
      <c r="M140" s="6">
        <f t="shared" si="6"/>
        <v>46024</v>
      </c>
      <c r="N140">
        <f t="shared" si="7"/>
        <v>149</v>
      </c>
      <c r="O140" t="str">
        <f t="shared" si="8"/>
        <v>Normal Merchant Day</v>
      </c>
    </row>
    <row r="141" spans="1:15" x14ac:dyDescent="0.3">
      <c r="A141" t="s">
        <v>208</v>
      </c>
      <c r="B141">
        <v>51</v>
      </c>
      <c r="C141">
        <v>7</v>
      </c>
      <c r="D141" s="1">
        <v>46046.102083333331</v>
      </c>
      <c r="E141">
        <v>499</v>
      </c>
      <c r="F141" t="s">
        <v>78</v>
      </c>
      <c r="G141" t="s">
        <v>64</v>
      </c>
      <c r="H141">
        <v>56</v>
      </c>
      <c r="I141" t="str">
        <f>IFERROR(VLOOKUP(C141,Merchants!$A$2:$D$41,2,FALSE),"Merchant not found")</f>
        <v>Merchant_007</v>
      </c>
      <c r="J141" t="str">
        <f>IFERROR(VLOOKUP(C141,Merchants!$A$2:$D$41,3,FALSE),"Merchant not found")</f>
        <v>food_delivery</v>
      </c>
      <c r="K141" t="str">
        <f>IFERROR(VLOOKUP(C141,Merchants!$A$2:$D$41,4,FALSE),"Merchant not found")</f>
        <v>East</v>
      </c>
      <c r="L141" s="2">
        <f>HLOOKUP(F141,Fee_lookup!$A$2:$E$3,2,FALSE)</f>
        <v>1.4999999999999999E-2</v>
      </c>
      <c r="M141" s="6">
        <f t="shared" si="6"/>
        <v>46046</v>
      </c>
      <c r="N141">
        <f t="shared" si="7"/>
        <v>1298</v>
      </c>
      <c r="O141" t="str">
        <f t="shared" si="8"/>
        <v>Normal Merchant Day</v>
      </c>
    </row>
    <row r="142" spans="1:15" x14ac:dyDescent="0.3">
      <c r="A142" t="s">
        <v>209</v>
      </c>
      <c r="B142">
        <v>15</v>
      </c>
      <c r="C142">
        <v>3</v>
      </c>
      <c r="D142" s="1">
        <v>46028.929861111108</v>
      </c>
      <c r="E142">
        <v>799</v>
      </c>
      <c r="F142" t="s">
        <v>66</v>
      </c>
      <c r="G142" t="s">
        <v>64</v>
      </c>
      <c r="H142">
        <v>41</v>
      </c>
      <c r="I142" t="str">
        <f>IFERROR(VLOOKUP(C142,Merchants!$A$2:$D$41,2,FALSE),"Merchant not found")</f>
        <v>Merchant_003</v>
      </c>
      <c r="J142" t="str">
        <f>IFERROR(VLOOKUP(C142,Merchants!$A$2:$D$41,3,FALSE),"Merchant not found")</f>
        <v>grocery</v>
      </c>
      <c r="K142" t="str">
        <f>IFERROR(VLOOKUP(C142,Merchants!$A$2:$D$41,4,FALSE),"Merchant not found")</f>
        <v>East</v>
      </c>
      <c r="L142" s="2">
        <f>HLOOKUP(F142,Fee_lookup!$A$2:$E$3,2,FALSE)</f>
        <v>2.0000000000000001E-4</v>
      </c>
      <c r="M142" s="6">
        <f t="shared" si="6"/>
        <v>46028</v>
      </c>
      <c r="N142">
        <f t="shared" si="7"/>
        <v>898</v>
      </c>
      <c r="O142" t="str">
        <f t="shared" si="8"/>
        <v>Normal Merchant Day</v>
      </c>
    </row>
    <row r="143" spans="1:15" x14ac:dyDescent="0.3">
      <c r="A143" t="s">
        <v>210</v>
      </c>
      <c r="B143">
        <v>184</v>
      </c>
      <c r="C143">
        <v>24</v>
      </c>
      <c r="D143" s="1">
        <v>46048.054166666669</v>
      </c>
      <c r="E143">
        <v>49</v>
      </c>
      <c r="F143" t="s">
        <v>66</v>
      </c>
      <c r="G143" t="s">
        <v>64</v>
      </c>
      <c r="H143">
        <v>55</v>
      </c>
      <c r="I143" t="str">
        <f>IFERROR(VLOOKUP(C143,Merchants!$A$2:$D$41,2,FALSE),"Merchant not found")</f>
        <v>Merchant_024</v>
      </c>
      <c r="J143" t="str">
        <f>IFERROR(VLOOKUP(C143,Merchants!$A$2:$D$41,3,FALSE),"Merchant not found")</f>
        <v>grocery</v>
      </c>
      <c r="K143" t="str">
        <f>IFERROR(VLOOKUP(C143,Merchants!$A$2:$D$41,4,FALSE),"Merchant not found")</f>
        <v>North</v>
      </c>
      <c r="L143" s="2">
        <f>HLOOKUP(F143,Fee_lookup!$A$2:$E$3,2,FALSE)</f>
        <v>2.0000000000000001E-4</v>
      </c>
      <c r="M143" s="6">
        <f t="shared" si="6"/>
        <v>46048</v>
      </c>
      <c r="N143">
        <f t="shared" si="7"/>
        <v>348</v>
      </c>
      <c r="O143" t="str">
        <f t="shared" si="8"/>
        <v>Normal Merchant Day</v>
      </c>
    </row>
    <row r="144" spans="1:15" x14ac:dyDescent="0.3">
      <c r="A144" t="s">
        <v>211</v>
      </c>
      <c r="B144">
        <v>211</v>
      </c>
      <c r="C144">
        <v>37</v>
      </c>
      <c r="D144" s="1">
        <v>46027.314583333333</v>
      </c>
      <c r="E144">
        <v>1499</v>
      </c>
      <c r="F144" t="s">
        <v>66</v>
      </c>
      <c r="G144" t="s">
        <v>64</v>
      </c>
      <c r="H144">
        <v>87</v>
      </c>
      <c r="I144" t="str">
        <f>IFERROR(VLOOKUP(C144,Merchants!$A$2:$D$41,2,FALSE),"Merchant not found")</f>
        <v>Merchant_037</v>
      </c>
      <c r="J144" t="str">
        <f>IFERROR(VLOOKUP(C144,Merchants!$A$2:$D$41,3,FALSE),"Merchant not found")</f>
        <v>entertainment</v>
      </c>
      <c r="K144" t="str">
        <f>IFERROR(VLOOKUP(C144,Merchants!$A$2:$D$41,4,FALSE),"Merchant not found")</f>
        <v>South</v>
      </c>
      <c r="L144" s="2">
        <f>HLOOKUP(F144,Fee_lookup!$A$2:$E$3,2,FALSE)</f>
        <v>2.0000000000000001E-4</v>
      </c>
      <c r="M144" s="6">
        <f t="shared" si="6"/>
        <v>46027</v>
      </c>
      <c r="N144">
        <f t="shared" si="7"/>
        <v>1499</v>
      </c>
      <c r="O144" t="str">
        <f t="shared" si="8"/>
        <v>Normal Merchant Day</v>
      </c>
    </row>
    <row r="145" spans="1:15" x14ac:dyDescent="0.3">
      <c r="A145" t="s">
        <v>212</v>
      </c>
      <c r="B145">
        <v>90</v>
      </c>
      <c r="C145">
        <v>6</v>
      </c>
      <c r="D145" s="1">
        <v>46048.215277777781</v>
      </c>
      <c r="E145">
        <v>49</v>
      </c>
      <c r="F145" t="s">
        <v>78</v>
      </c>
      <c r="G145" t="s">
        <v>64</v>
      </c>
      <c r="H145">
        <v>78</v>
      </c>
      <c r="I145" t="str">
        <f>IFERROR(VLOOKUP(C145,Merchants!$A$2:$D$41,2,FALSE),"Merchant not found")</f>
        <v>Merchant_006</v>
      </c>
      <c r="J145" t="str">
        <f>IFERROR(VLOOKUP(C145,Merchants!$A$2:$D$41,3,FALSE),"Merchant not found")</f>
        <v>food_delivery</v>
      </c>
      <c r="K145" t="str">
        <f>IFERROR(VLOOKUP(C145,Merchants!$A$2:$D$41,4,FALSE),"Merchant not found")</f>
        <v>South</v>
      </c>
      <c r="L145" s="2">
        <f>HLOOKUP(F145,Fee_lookup!$A$2:$E$3,2,FALSE)</f>
        <v>1.4999999999999999E-2</v>
      </c>
      <c r="M145" s="6">
        <f t="shared" si="6"/>
        <v>46048</v>
      </c>
      <c r="N145">
        <f t="shared" si="7"/>
        <v>897</v>
      </c>
      <c r="O145" t="str">
        <f t="shared" si="8"/>
        <v>Normal Merchant Day</v>
      </c>
    </row>
    <row r="146" spans="1:15" x14ac:dyDescent="0.3">
      <c r="A146" t="s">
        <v>213</v>
      </c>
      <c r="B146">
        <v>350</v>
      </c>
      <c r="C146">
        <v>16</v>
      </c>
      <c r="D146" s="1">
        <v>46050.527083333334</v>
      </c>
      <c r="E146">
        <v>49</v>
      </c>
      <c r="F146" t="s">
        <v>66</v>
      </c>
      <c r="G146" t="s">
        <v>64</v>
      </c>
      <c r="H146">
        <v>63</v>
      </c>
      <c r="I146" t="str">
        <f>IFERROR(VLOOKUP(C146,Merchants!$A$2:$D$41,2,FALSE),"Merchant not found")</f>
        <v>Merchant_016</v>
      </c>
      <c r="J146" t="str">
        <f>IFERROR(VLOOKUP(C146,Merchants!$A$2:$D$41,3,FALSE),"Merchant not found")</f>
        <v>bill_payment</v>
      </c>
      <c r="K146" t="str">
        <f>IFERROR(VLOOKUP(C146,Merchants!$A$2:$D$41,4,FALSE),"Merchant not found")</f>
        <v>West</v>
      </c>
      <c r="L146" s="2">
        <f>HLOOKUP(F146,Fee_lookup!$A$2:$E$3,2,FALSE)</f>
        <v>2.0000000000000001E-4</v>
      </c>
      <c r="M146" s="6">
        <f t="shared" si="6"/>
        <v>46050</v>
      </c>
      <c r="N146">
        <f t="shared" si="7"/>
        <v>49</v>
      </c>
      <c r="O146" t="str">
        <f t="shared" si="8"/>
        <v>Normal Merchant Day</v>
      </c>
    </row>
    <row r="147" spans="1:15" x14ac:dyDescent="0.3">
      <c r="A147" t="s">
        <v>214</v>
      </c>
      <c r="B147">
        <v>119</v>
      </c>
      <c r="C147">
        <v>30</v>
      </c>
      <c r="D147" s="1">
        <v>46052.756249999999</v>
      </c>
      <c r="E147">
        <v>49</v>
      </c>
      <c r="F147" t="s">
        <v>78</v>
      </c>
      <c r="G147" t="s">
        <v>64</v>
      </c>
      <c r="H147">
        <v>81</v>
      </c>
      <c r="I147" t="str">
        <f>IFERROR(VLOOKUP(C147,Merchants!$A$2:$D$41,2,FALSE),"Merchant not found")</f>
        <v>Merchant_030</v>
      </c>
      <c r="J147" t="str">
        <f>IFERROR(VLOOKUP(C147,Merchants!$A$2:$D$41,3,FALSE),"Merchant not found")</f>
        <v>travel</v>
      </c>
      <c r="K147" t="str">
        <f>IFERROR(VLOOKUP(C147,Merchants!$A$2:$D$41,4,FALSE),"Merchant not found")</f>
        <v>West</v>
      </c>
      <c r="L147" s="2">
        <f>HLOOKUP(F147,Fee_lookup!$A$2:$E$3,2,FALSE)</f>
        <v>1.4999999999999999E-2</v>
      </c>
      <c r="M147" s="6">
        <f t="shared" si="6"/>
        <v>46052</v>
      </c>
      <c r="N147">
        <f t="shared" si="7"/>
        <v>49</v>
      </c>
      <c r="O147" t="str">
        <f t="shared" si="8"/>
        <v>Normal Merchant Day</v>
      </c>
    </row>
    <row r="148" spans="1:15" x14ac:dyDescent="0.3">
      <c r="A148" t="s">
        <v>215</v>
      </c>
      <c r="B148">
        <v>342</v>
      </c>
      <c r="C148">
        <v>1</v>
      </c>
      <c r="D148" s="1">
        <v>46031.594444444447</v>
      </c>
      <c r="E148">
        <v>49</v>
      </c>
      <c r="F148" t="s">
        <v>66</v>
      </c>
      <c r="G148" t="s">
        <v>64</v>
      </c>
      <c r="H148">
        <v>59</v>
      </c>
      <c r="I148" t="str">
        <f>IFERROR(VLOOKUP(C148,Merchants!$A$2:$D$41,2,FALSE),"Merchant not found")</f>
        <v>Merchant_001</v>
      </c>
      <c r="J148" t="str">
        <f>IFERROR(VLOOKUP(C148,Merchants!$A$2:$D$41,3,FALSE),"Merchant not found")</f>
        <v>ecommerce</v>
      </c>
      <c r="K148" t="str">
        <f>IFERROR(VLOOKUP(C148,Merchants!$A$2:$D$41,4,FALSE),"Merchant not found")</f>
        <v>South</v>
      </c>
      <c r="L148" s="2">
        <f>HLOOKUP(F148,Fee_lookup!$A$2:$E$3,2,FALSE)</f>
        <v>2.0000000000000001E-4</v>
      </c>
      <c r="M148" s="6">
        <f t="shared" si="6"/>
        <v>46031</v>
      </c>
      <c r="N148">
        <f t="shared" si="7"/>
        <v>5048</v>
      </c>
      <c r="O148" t="str">
        <f t="shared" si="8"/>
        <v>High-Value Merchant Day</v>
      </c>
    </row>
    <row r="149" spans="1:15" x14ac:dyDescent="0.3">
      <c r="A149" t="s">
        <v>216</v>
      </c>
      <c r="B149">
        <v>280</v>
      </c>
      <c r="C149">
        <v>11</v>
      </c>
      <c r="D149" s="1">
        <v>46051.404861111114</v>
      </c>
      <c r="E149">
        <v>149</v>
      </c>
      <c r="F149" t="s">
        <v>66</v>
      </c>
      <c r="G149" t="s">
        <v>92</v>
      </c>
      <c r="H149">
        <v>9</v>
      </c>
      <c r="I149" t="str">
        <f>IFERROR(VLOOKUP(C149,Merchants!$A$2:$D$41,2,FALSE),"Merchant not found")</f>
        <v>Merchant_011</v>
      </c>
      <c r="J149" t="str">
        <f>IFERROR(VLOOKUP(C149,Merchants!$A$2:$D$41,3,FALSE),"Merchant not found")</f>
        <v>ecommerce</v>
      </c>
      <c r="K149" t="str">
        <f>IFERROR(VLOOKUP(C149,Merchants!$A$2:$D$41,4,FALSE),"Merchant not found")</f>
        <v>North</v>
      </c>
      <c r="L149" s="2">
        <f>HLOOKUP(F149,Fee_lookup!$A$2:$E$3,2,FALSE)</f>
        <v>2.0000000000000001E-4</v>
      </c>
      <c r="M149" s="6">
        <f t="shared" si="6"/>
        <v>46051</v>
      </c>
      <c r="N149">
        <f t="shared" si="7"/>
        <v>149</v>
      </c>
      <c r="O149" t="str">
        <f t="shared" si="8"/>
        <v>Normal Merchant Day</v>
      </c>
    </row>
    <row r="150" spans="1:15" x14ac:dyDescent="0.3">
      <c r="A150" t="s">
        <v>217</v>
      </c>
      <c r="B150">
        <v>154</v>
      </c>
      <c r="C150">
        <v>28</v>
      </c>
      <c r="D150" s="1">
        <v>46037.484027777777</v>
      </c>
      <c r="E150">
        <v>2999</v>
      </c>
      <c r="F150" t="s">
        <v>69</v>
      </c>
      <c r="G150" t="s">
        <v>64</v>
      </c>
      <c r="H150">
        <v>88</v>
      </c>
      <c r="I150" t="str">
        <f>IFERROR(VLOOKUP(C150,Merchants!$A$2:$D$41,2,FALSE),"Merchant not found")</f>
        <v>Merchant_028</v>
      </c>
      <c r="J150" t="str">
        <f>IFERROR(VLOOKUP(C150,Merchants!$A$2:$D$41,3,FALSE),"Merchant not found")</f>
        <v>ecommerce</v>
      </c>
      <c r="K150" t="str">
        <f>IFERROR(VLOOKUP(C150,Merchants!$A$2:$D$41,4,FALSE),"Merchant not found")</f>
        <v>South</v>
      </c>
      <c r="L150" s="2">
        <f>HLOOKUP(F150,Fee_lookup!$A$2:$E$3,2,FALSE)</f>
        <v>0.01</v>
      </c>
      <c r="M150" s="6">
        <f t="shared" si="6"/>
        <v>46037</v>
      </c>
      <c r="N150">
        <f t="shared" si="7"/>
        <v>2999</v>
      </c>
      <c r="O150" t="str">
        <f t="shared" si="8"/>
        <v>Normal Merchant Day</v>
      </c>
    </row>
    <row r="151" spans="1:15" x14ac:dyDescent="0.3">
      <c r="A151" t="s">
        <v>218</v>
      </c>
      <c r="B151">
        <v>155</v>
      </c>
      <c r="C151">
        <v>13</v>
      </c>
      <c r="D151" s="1">
        <v>46031.620833333334</v>
      </c>
      <c r="E151">
        <v>149</v>
      </c>
      <c r="F151" t="s">
        <v>66</v>
      </c>
      <c r="G151" t="s">
        <v>64</v>
      </c>
      <c r="H151">
        <v>49</v>
      </c>
      <c r="I151" t="str">
        <f>IFERROR(VLOOKUP(C151,Merchants!$A$2:$D$41,2,FALSE),"Merchant not found")</f>
        <v>Merchant_013</v>
      </c>
      <c r="J151" t="str">
        <f>IFERROR(VLOOKUP(C151,Merchants!$A$2:$D$41,3,FALSE),"Merchant not found")</f>
        <v>travel</v>
      </c>
      <c r="K151" t="str">
        <f>IFERROR(VLOOKUP(C151,Merchants!$A$2:$D$41,4,FALSE),"Merchant not found")</f>
        <v>East</v>
      </c>
      <c r="L151" s="2">
        <f>HLOOKUP(F151,Fee_lookup!$A$2:$E$3,2,FALSE)</f>
        <v>2.0000000000000001E-4</v>
      </c>
      <c r="M151" s="6">
        <f t="shared" si="6"/>
        <v>46031</v>
      </c>
      <c r="N151">
        <f t="shared" si="7"/>
        <v>198</v>
      </c>
      <c r="O151" t="str">
        <f t="shared" si="8"/>
        <v>Normal Merchant Day</v>
      </c>
    </row>
    <row r="152" spans="1:15" x14ac:dyDescent="0.3">
      <c r="A152" t="s">
        <v>219</v>
      </c>
      <c r="B152">
        <v>122</v>
      </c>
      <c r="C152">
        <v>25</v>
      </c>
      <c r="D152" s="1">
        <v>46050.629166666666</v>
      </c>
      <c r="E152">
        <v>299</v>
      </c>
      <c r="F152" t="s">
        <v>66</v>
      </c>
      <c r="G152" t="s">
        <v>64</v>
      </c>
      <c r="H152">
        <v>73</v>
      </c>
      <c r="I152" t="str">
        <f>IFERROR(VLOOKUP(C152,Merchants!$A$2:$D$41,2,FALSE),"Merchant not found")</f>
        <v>Merchant_025</v>
      </c>
      <c r="J152" t="str">
        <f>IFERROR(VLOOKUP(C152,Merchants!$A$2:$D$41,3,FALSE),"Merchant not found")</f>
        <v>travel</v>
      </c>
      <c r="K152" t="str">
        <f>IFERROR(VLOOKUP(C152,Merchants!$A$2:$D$41,4,FALSE),"Merchant not found")</f>
        <v>South</v>
      </c>
      <c r="L152" s="2">
        <f>HLOOKUP(F152,Fee_lookup!$A$2:$E$3,2,FALSE)</f>
        <v>2.0000000000000001E-4</v>
      </c>
      <c r="M152" s="6">
        <f t="shared" si="6"/>
        <v>46050</v>
      </c>
      <c r="N152">
        <f t="shared" si="7"/>
        <v>299</v>
      </c>
      <c r="O152" t="str">
        <f t="shared" si="8"/>
        <v>Normal Merchant Day</v>
      </c>
    </row>
    <row r="153" spans="1:15" x14ac:dyDescent="0.3">
      <c r="A153" t="s">
        <v>220</v>
      </c>
      <c r="B153">
        <v>152</v>
      </c>
      <c r="C153">
        <v>2</v>
      </c>
      <c r="D153" s="1">
        <v>46034.762499999997</v>
      </c>
      <c r="E153">
        <v>49</v>
      </c>
      <c r="F153" t="s">
        <v>66</v>
      </c>
      <c r="G153" t="s">
        <v>64</v>
      </c>
      <c r="H153">
        <v>84</v>
      </c>
      <c r="I153" t="str">
        <f>IFERROR(VLOOKUP(C153,Merchants!$A$2:$D$41,2,FALSE),"Merchant not found")</f>
        <v>Merchant_002</v>
      </c>
      <c r="J153" t="str">
        <f>IFERROR(VLOOKUP(C153,Merchants!$A$2:$D$41,3,FALSE),"Merchant not found")</f>
        <v>grocery</v>
      </c>
      <c r="K153" t="str">
        <f>IFERROR(VLOOKUP(C153,Merchants!$A$2:$D$41,4,FALSE),"Merchant not found")</f>
        <v>West</v>
      </c>
      <c r="L153" s="2">
        <f>HLOOKUP(F153,Fee_lookup!$A$2:$E$3,2,FALSE)</f>
        <v>2.0000000000000001E-4</v>
      </c>
      <c r="M153" s="6">
        <f t="shared" si="6"/>
        <v>46034</v>
      </c>
      <c r="N153">
        <f t="shared" si="7"/>
        <v>348</v>
      </c>
      <c r="O153" t="str">
        <f t="shared" si="8"/>
        <v>Normal Merchant Day</v>
      </c>
    </row>
    <row r="154" spans="1:15" x14ac:dyDescent="0.3">
      <c r="A154" t="s">
        <v>221</v>
      </c>
      <c r="B154">
        <v>290</v>
      </c>
      <c r="C154">
        <v>4</v>
      </c>
      <c r="D154" s="1">
        <v>46035.333333333336</v>
      </c>
      <c r="E154">
        <v>149</v>
      </c>
      <c r="F154" t="s">
        <v>66</v>
      </c>
      <c r="G154" t="s">
        <v>64</v>
      </c>
      <c r="H154">
        <v>77</v>
      </c>
      <c r="I154" t="str">
        <f>IFERROR(VLOOKUP(C154,Merchants!$A$2:$D$41,2,FALSE),"Merchant not found")</f>
        <v>Merchant_004</v>
      </c>
      <c r="J154" t="str">
        <f>IFERROR(VLOOKUP(C154,Merchants!$A$2:$D$41,3,FALSE),"Merchant not found")</f>
        <v>ecommerce</v>
      </c>
      <c r="K154" t="str">
        <f>IFERROR(VLOOKUP(C154,Merchants!$A$2:$D$41,4,FALSE),"Merchant not found")</f>
        <v>East</v>
      </c>
      <c r="L154" s="2">
        <f>HLOOKUP(F154,Fee_lookup!$A$2:$E$3,2,FALSE)</f>
        <v>2.0000000000000001E-4</v>
      </c>
      <c r="M154" s="6">
        <f t="shared" si="6"/>
        <v>46035</v>
      </c>
      <c r="N154">
        <f t="shared" si="7"/>
        <v>948</v>
      </c>
      <c r="O154" t="str">
        <f t="shared" si="8"/>
        <v>Normal Merchant Day</v>
      </c>
    </row>
    <row r="155" spans="1:15" x14ac:dyDescent="0.3">
      <c r="A155" t="s">
        <v>222</v>
      </c>
      <c r="B155">
        <v>147</v>
      </c>
      <c r="C155">
        <v>15</v>
      </c>
      <c r="D155" s="1">
        <v>46046.661805555559</v>
      </c>
      <c r="E155">
        <v>49</v>
      </c>
      <c r="F155" t="s">
        <v>63</v>
      </c>
      <c r="G155" t="s">
        <v>64</v>
      </c>
      <c r="H155">
        <v>77</v>
      </c>
      <c r="I155" t="str">
        <f>IFERROR(VLOOKUP(C155,Merchants!$A$2:$D$41,2,FALSE),"Merchant not found")</f>
        <v>Merchant_015</v>
      </c>
      <c r="J155" t="str">
        <f>IFERROR(VLOOKUP(C155,Merchants!$A$2:$D$41,3,FALSE),"Merchant not found")</f>
        <v>travel</v>
      </c>
      <c r="K155" t="str">
        <f>IFERROR(VLOOKUP(C155,Merchants!$A$2:$D$41,4,FALSE),"Merchant not found")</f>
        <v>North</v>
      </c>
      <c r="L155" s="2">
        <f>HLOOKUP(F155,Fee_lookup!$A$2:$E$3,2,FALSE)</f>
        <v>5.0000000000000001E-4</v>
      </c>
      <c r="M155" s="6">
        <f t="shared" si="6"/>
        <v>46046</v>
      </c>
      <c r="N155">
        <f t="shared" si="7"/>
        <v>148</v>
      </c>
      <c r="O155" t="str">
        <f t="shared" si="8"/>
        <v>Normal Merchant Day</v>
      </c>
    </row>
    <row r="156" spans="1:15" x14ac:dyDescent="0.3">
      <c r="A156" t="s">
        <v>223</v>
      </c>
      <c r="B156">
        <v>326</v>
      </c>
      <c r="C156">
        <v>13</v>
      </c>
      <c r="D156" s="1">
        <v>46048.468055555553</v>
      </c>
      <c r="E156">
        <v>299</v>
      </c>
      <c r="F156" t="s">
        <v>69</v>
      </c>
      <c r="G156" t="s">
        <v>64</v>
      </c>
      <c r="H156">
        <v>79</v>
      </c>
      <c r="I156" t="str">
        <f>IFERROR(VLOOKUP(C156,Merchants!$A$2:$D$41,2,FALSE),"Merchant not found")</f>
        <v>Merchant_013</v>
      </c>
      <c r="J156" t="str">
        <f>IFERROR(VLOOKUP(C156,Merchants!$A$2:$D$41,3,FALSE),"Merchant not found")</f>
        <v>travel</v>
      </c>
      <c r="K156" t="str">
        <f>IFERROR(VLOOKUP(C156,Merchants!$A$2:$D$41,4,FALSE),"Merchant not found")</f>
        <v>East</v>
      </c>
      <c r="L156" s="2">
        <f>HLOOKUP(F156,Fee_lookup!$A$2:$E$3,2,FALSE)</f>
        <v>0.01</v>
      </c>
      <c r="M156" s="6">
        <f t="shared" si="6"/>
        <v>46048</v>
      </c>
      <c r="N156">
        <f t="shared" si="7"/>
        <v>299</v>
      </c>
      <c r="O156" t="str">
        <f t="shared" si="8"/>
        <v>Normal Merchant Day</v>
      </c>
    </row>
    <row r="157" spans="1:15" x14ac:dyDescent="0.3">
      <c r="A157" t="s">
        <v>224</v>
      </c>
      <c r="B157">
        <v>338</v>
      </c>
      <c r="C157">
        <v>9</v>
      </c>
      <c r="D157" s="1">
        <v>46031.908333333333</v>
      </c>
      <c r="E157">
        <v>99</v>
      </c>
      <c r="F157" t="s">
        <v>78</v>
      </c>
      <c r="G157" t="s">
        <v>64</v>
      </c>
      <c r="H157">
        <v>80</v>
      </c>
      <c r="I157" t="str">
        <f>IFERROR(VLOOKUP(C157,Merchants!$A$2:$D$41,2,FALSE),"Merchant not found")</f>
        <v>Merchant_009</v>
      </c>
      <c r="J157" t="str">
        <f>IFERROR(VLOOKUP(C157,Merchants!$A$2:$D$41,3,FALSE),"Merchant not found")</f>
        <v>ecommerce</v>
      </c>
      <c r="K157" t="str">
        <f>IFERROR(VLOOKUP(C157,Merchants!$A$2:$D$41,4,FALSE),"Merchant not found")</f>
        <v>North</v>
      </c>
      <c r="L157" s="2">
        <f>HLOOKUP(F157,Fee_lookup!$A$2:$E$3,2,FALSE)</f>
        <v>1.4999999999999999E-2</v>
      </c>
      <c r="M157" s="6">
        <f t="shared" si="6"/>
        <v>46031</v>
      </c>
      <c r="N157">
        <f t="shared" si="7"/>
        <v>99</v>
      </c>
      <c r="O157" t="str">
        <f t="shared" si="8"/>
        <v>Normal Merchant Day</v>
      </c>
    </row>
    <row r="158" spans="1:15" x14ac:dyDescent="0.3">
      <c r="A158" t="s">
        <v>225</v>
      </c>
      <c r="B158">
        <v>21</v>
      </c>
      <c r="C158">
        <v>20</v>
      </c>
      <c r="D158" s="1">
        <v>46026.861805555556</v>
      </c>
      <c r="E158">
        <v>2999</v>
      </c>
      <c r="F158" t="s">
        <v>66</v>
      </c>
      <c r="G158" t="s">
        <v>64</v>
      </c>
      <c r="H158">
        <v>100</v>
      </c>
      <c r="I158" t="str">
        <f>IFERROR(VLOOKUP(C158,Merchants!$A$2:$D$41,2,FALSE),"Merchant not found")</f>
        <v>Merchant_020</v>
      </c>
      <c r="J158" t="str">
        <f>IFERROR(VLOOKUP(C158,Merchants!$A$2:$D$41,3,FALSE),"Merchant not found")</f>
        <v>food_delivery</v>
      </c>
      <c r="K158" t="str">
        <f>IFERROR(VLOOKUP(C158,Merchants!$A$2:$D$41,4,FALSE),"Merchant not found")</f>
        <v>East</v>
      </c>
      <c r="L158" s="2">
        <f>HLOOKUP(F158,Fee_lookup!$A$2:$E$3,2,FALSE)</f>
        <v>2.0000000000000001E-4</v>
      </c>
      <c r="M158" s="6">
        <f t="shared" si="6"/>
        <v>46026</v>
      </c>
      <c r="N158">
        <f t="shared" si="7"/>
        <v>2999</v>
      </c>
      <c r="O158" t="str">
        <f t="shared" si="8"/>
        <v>Normal Merchant Day</v>
      </c>
    </row>
    <row r="159" spans="1:15" x14ac:dyDescent="0.3">
      <c r="A159" t="s">
        <v>226</v>
      </c>
      <c r="B159">
        <v>187</v>
      </c>
      <c r="C159">
        <v>9</v>
      </c>
      <c r="D159" s="1">
        <v>46037.067361111112</v>
      </c>
      <c r="E159">
        <v>49</v>
      </c>
      <c r="F159" t="s">
        <v>78</v>
      </c>
      <c r="G159" t="s">
        <v>79</v>
      </c>
      <c r="H159">
        <v>11</v>
      </c>
      <c r="I159" t="str">
        <f>IFERROR(VLOOKUP(C159,Merchants!$A$2:$D$41,2,FALSE),"Merchant not found")</f>
        <v>Merchant_009</v>
      </c>
      <c r="J159" t="str">
        <f>IFERROR(VLOOKUP(C159,Merchants!$A$2:$D$41,3,FALSE),"Merchant not found")</f>
        <v>ecommerce</v>
      </c>
      <c r="K159" t="str">
        <f>IFERROR(VLOOKUP(C159,Merchants!$A$2:$D$41,4,FALSE),"Merchant not found")</f>
        <v>North</v>
      </c>
      <c r="L159" s="2">
        <f>HLOOKUP(F159,Fee_lookup!$A$2:$E$3,2,FALSE)</f>
        <v>1.4999999999999999E-2</v>
      </c>
      <c r="M159" s="6">
        <f t="shared" si="6"/>
        <v>46037</v>
      </c>
      <c r="N159">
        <f t="shared" si="7"/>
        <v>148</v>
      </c>
      <c r="O159" t="str">
        <f t="shared" si="8"/>
        <v>Normal Merchant Day</v>
      </c>
    </row>
    <row r="160" spans="1:15" x14ac:dyDescent="0.3">
      <c r="A160" t="s">
        <v>227</v>
      </c>
      <c r="B160">
        <v>213</v>
      </c>
      <c r="C160">
        <v>12</v>
      </c>
      <c r="D160" s="1">
        <v>46052.388888888891</v>
      </c>
      <c r="E160">
        <v>4999</v>
      </c>
      <c r="F160" t="s">
        <v>66</v>
      </c>
      <c r="G160" t="s">
        <v>64</v>
      </c>
      <c r="H160">
        <v>25</v>
      </c>
      <c r="I160" t="str">
        <f>IFERROR(VLOOKUP(C160,Merchants!$A$2:$D$41,2,FALSE),"Merchant not found")</f>
        <v>Merchant_012</v>
      </c>
      <c r="J160" t="str">
        <f>IFERROR(VLOOKUP(C160,Merchants!$A$2:$D$41,3,FALSE),"Merchant not found")</f>
        <v>ecommerce</v>
      </c>
      <c r="K160" t="str">
        <f>IFERROR(VLOOKUP(C160,Merchants!$A$2:$D$41,4,FALSE),"Merchant not found")</f>
        <v>East</v>
      </c>
      <c r="L160" s="2">
        <f>HLOOKUP(F160,Fee_lookup!$A$2:$E$3,2,FALSE)</f>
        <v>2.0000000000000001E-4</v>
      </c>
      <c r="M160" s="6">
        <f t="shared" si="6"/>
        <v>46052</v>
      </c>
      <c r="N160">
        <f t="shared" si="7"/>
        <v>4999</v>
      </c>
      <c r="O160" t="str">
        <f t="shared" si="8"/>
        <v>Normal Merchant Day</v>
      </c>
    </row>
    <row r="161" spans="1:15" x14ac:dyDescent="0.3">
      <c r="A161" t="s">
        <v>228</v>
      </c>
      <c r="B161">
        <v>188</v>
      </c>
      <c r="C161">
        <v>34</v>
      </c>
      <c r="D161" s="1">
        <v>46027.74722222222</v>
      </c>
      <c r="E161">
        <v>2999</v>
      </c>
      <c r="F161" t="s">
        <v>66</v>
      </c>
      <c r="G161" t="s">
        <v>64</v>
      </c>
      <c r="H161">
        <v>64</v>
      </c>
      <c r="I161" t="str">
        <f>IFERROR(VLOOKUP(C161,Merchants!$A$2:$D$41,2,FALSE),"Merchant not found")</f>
        <v>Merchant_034</v>
      </c>
      <c r="J161" t="str">
        <f>IFERROR(VLOOKUP(C161,Merchants!$A$2:$D$41,3,FALSE),"Merchant not found")</f>
        <v>travel</v>
      </c>
      <c r="K161" t="str">
        <f>IFERROR(VLOOKUP(C161,Merchants!$A$2:$D$41,4,FALSE),"Merchant not found")</f>
        <v>South</v>
      </c>
      <c r="L161" s="2">
        <f>HLOOKUP(F161,Fee_lookup!$A$2:$E$3,2,FALSE)</f>
        <v>2.0000000000000001E-4</v>
      </c>
      <c r="M161" s="6">
        <f t="shared" si="6"/>
        <v>46027</v>
      </c>
      <c r="N161">
        <f t="shared" si="7"/>
        <v>2999</v>
      </c>
      <c r="O161" t="str">
        <f t="shared" si="8"/>
        <v>Normal Merchant Day</v>
      </c>
    </row>
    <row r="162" spans="1:15" x14ac:dyDescent="0.3">
      <c r="A162" t="s">
        <v>229</v>
      </c>
      <c r="B162">
        <v>85</v>
      </c>
      <c r="C162">
        <v>17</v>
      </c>
      <c r="D162" s="1">
        <v>46052.370138888888</v>
      </c>
      <c r="E162">
        <v>499</v>
      </c>
      <c r="F162" t="s">
        <v>66</v>
      </c>
      <c r="G162" t="s">
        <v>64</v>
      </c>
      <c r="H162">
        <v>61</v>
      </c>
      <c r="I162" t="str">
        <f>IFERROR(VLOOKUP(C162,Merchants!$A$2:$D$41,2,FALSE),"Merchant not found")</f>
        <v>Merchant_017</v>
      </c>
      <c r="J162" t="str">
        <f>IFERROR(VLOOKUP(C162,Merchants!$A$2:$D$41,3,FALSE),"Merchant not found")</f>
        <v>grocery</v>
      </c>
      <c r="K162" t="str">
        <f>IFERROR(VLOOKUP(C162,Merchants!$A$2:$D$41,4,FALSE),"Merchant not found")</f>
        <v>North</v>
      </c>
      <c r="L162" s="2">
        <f>HLOOKUP(F162,Fee_lookup!$A$2:$E$3,2,FALSE)</f>
        <v>2.0000000000000001E-4</v>
      </c>
      <c r="M162" s="6">
        <f t="shared" si="6"/>
        <v>46052</v>
      </c>
      <c r="N162">
        <f t="shared" si="7"/>
        <v>499</v>
      </c>
      <c r="O162" t="str">
        <f t="shared" si="8"/>
        <v>Normal Merchant Day</v>
      </c>
    </row>
    <row r="163" spans="1:15" x14ac:dyDescent="0.3">
      <c r="A163" t="s">
        <v>230</v>
      </c>
      <c r="B163">
        <v>174</v>
      </c>
      <c r="C163">
        <v>8</v>
      </c>
      <c r="D163" s="1">
        <v>46048.407638888886</v>
      </c>
      <c r="E163">
        <v>299</v>
      </c>
      <c r="F163" t="s">
        <v>69</v>
      </c>
      <c r="G163" t="s">
        <v>64</v>
      </c>
      <c r="H163">
        <v>59</v>
      </c>
      <c r="I163" t="str">
        <f>IFERROR(VLOOKUP(C163,Merchants!$A$2:$D$41,2,FALSE),"Merchant not found")</f>
        <v>Merchant_008</v>
      </c>
      <c r="J163" t="str">
        <f>IFERROR(VLOOKUP(C163,Merchants!$A$2:$D$41,3,FALSE),"Merchant not found")</f>
        <v>food_delivery</v>
      </c>
      <c r="K163" t="str">
        <f>IFERROR(VLOOKUP(C163,Merchants!$A$2:$D$41,4,FALSE),"Merchant not found")</f>
        <v>North</v>
      </c>
      <c r="L163" s="2">
        <f>HLOOKUP(F163,Fee_lookup!$A$2:$E$3,2,FALSE)</f>
        <v>0.01</v>
      </c>
      <c r="M163" s="6">
        <f t="shared" si="6"/>
        <v>46048</v>
      </c>
      <c r="N163">
        <f t="shared" si="7"/>
        <v>598</v>
      </c>
      <c r="O163" t="str">
        <f t="shared" si="8"/>
        <v>Normal Merchant Day</v>
      </c>
    </row>
    <row r="164" spans="1:15" x14ac:dyDescent="0.3">
      <c r="A164" t="s">
        <v>231</v>
      </c>
      <c r="B164">
        <v>116</v>
      </c>
      <c r="C164">
        <v>26</v>
      </c>
      <c r="D164" s="1">
        <v>46025.2</v>
      </c>
      <c r="E164">
        <v>99</v>
      </c>
      <c r="F164" t="s">
        <v>69</v>
      </c>
      <c r="G164" t="s">
        <v>64</v>
      </c>
      <c r="H164">
        <v>71</v>
      </c>
      <c r="I164" t="str">
        <f>IFERROR(VLOOKUP(C164,Merchants!$A$2:$D$41,2,FALSE),"Merchant not found")</f>
        <v>Merchant_026</v>
      </c>
      <c r="J164" t="str">
        <f>IFERROR(VLOOKUP(C164,Merchants!$A$2:$D$41,3,FALSE),"Merchant not found")</f>
        <v>food_delivery</v>
      </c>
      <c r="K164" t="str">
        <f>IFERROR(VLOOKUP(C164,Merchants!$A$2:$D$41,4,FALSE),"Merchant not found")</f>
        <v>East</v>
      </c>
      <c r="L164" s="2">
        <f>HLOOKUP(F164,Fee_lookup!$A$2:$E$3,2,FALSE)</f>
        <v>0.01</v>
      </c>
      <c r="M164" s="6">
        <f t="shared" si="6"/>
        <v>46025</v>
      </c>
      <c r="N164">
        <f t="shared" si="7"/>
        <v>99</v>
      </c>
      <c r="O164" t="str">
        <f t="shared" si="8"/>
        <v>Normal Merchant Day</v>
      </c>
    </row>
    <row r="165" spans="1:15" x14ac:dyDescent="0.3">
      <c r="A165" t="s">
        <v>232</v>
      </c>
      <c r="B165">
        <v>203</v>
      </c>
      <c r="C165">
        <v>1</v>
      </c>
      <c r="D165" s="1">
        <v>46034.118055555555</v>
      </c>
      <c r="E165">
        <v>149</v>
      </c>
      <c r="F165" t="s">
        <v>63</v>
      </c>
      <c r="G165" t="s">
        <v>64</v>
      </c>
      <c r="H165">
        <v>33</v>
      </c>
      <c r="I165" t="str">
        <f>IFERROR(VLOOKUP(C165,Merchants!$A$2:$D$41,2,FALSE),"Merchant not found")</f>
        <v>Merchant_001</v>
      </c>
      <c r="J165" t="str">
        <f>IFERROR(VLOOKUP(C165,Merchants!$A$2:$D$41,3,FALSE),"Merchant not found")</f>
        <v>ecommerce</v>
      </c>
      <c r="K165" t="str">
        <f>IFERROR(VLOOKUP(C165,Merchants!$A$2:$D$41,4,FALSE),"Merchant not found")</f>
        <v>South</v>
      </c>
      <c r="L165" s="2">
        <f>HLOOKUP(F165,Fee_lookup!$A$2:$E$3,2,FALSE)</f>
        <v>5.0000000000000001E-4</v>
      </c>
      <c r="M165" s="6">
        <f t="shared" si="6"/>
        <v>46034</v>
      </c>
      <c r="N165">
        <f t="shared" si="7"/>
        <v>149</v>
      </c>
      <c r="O165" t="str">
        <f t="shared" si="8"/>
        <v>Normal Merchant Day</v>
      </c>
    </row>
    <row r="166" spans="1:15" x14ac:dyDescent="0.3">
      <c r="A166" t="s">
        <v>233</v>
      </c>
      <c r="B166">
        <v>189</v>
      </c>
      <c r="C166">
        <v>17</v>
      </c>
      <c r="D166" s="1">
        <v>46040.145138888889</v>
      </c>
      <c r="E166">
        <v>99</v>
      </c>
      <c r="F166" t="s">
        <v>66</v>
      </c>
      <c r="G166" t="s">
        <v>64</v>
      </c>
      <c r="H166">
        <v>74</v>
      </c>
      <c r="I166" t="str">
        <f>IFERROR(VLOOKUP(C166,Merchants!$A$2:$D$41,2,FALSE),"Merchant not found")</f>
        <v>Merchant_017</v>
      </c>
      <c r="J166" t="str">
        <f>IFERROR(VLOOKUP(C166,Merchants!$A$2:$D$41,3,FALSE),"Merchant not found")</f>
        <v>grocery</v>
      </c>
      <c r="K166" t="str">
        <f>IFERROR(VLOOKUP(C166,Merchants!$A$2:$D$41,4,FALSE),"Merchant not found")</f>
        <v>North</v>
      </c>
      <c r="L166" s="2">
        <f>HLOOKUP(F166,Fee_lookup!$A$2:$E$3,2,FALSE)</f>
        <v>2.0000000000000001E-4</v>
      </c>
      <c r="M166" s="6">
        <f t="shared" si="6"/>
        <v>46040</v>
      </c>
      <c r="N166">
        <f t="shared" si="7"/>
        <v>198</v>
      </c>
      <c r="O166" t="str">
        <f t="shared" si="8"/>
        <v>Normal Merchant Day</v>
      </c>
    </row>
    <row r="167" spans="1:15" x14ac:dyDescent="0.3">
      <c r="A167" t="s">
        <v>234</v>
      </c>
      <c r="B167">
        <v>56</v>
      </c>
      <c r="C167">
        <v>15</v>
      </c>
      <c r="D167" s="1">
        <v>46035.849305555559</v>
      </c>
      <c r="E167">
        <v>299</v>
      </c>
      <c r="F167" t="s">
        <v>66</v>
      </c>
      <c r="G167" t="s">
        <v>64</v>
      </c>
      <c r="H167">
        <v>60</v>
      </c>
      <c r="I167" t="str">
        <f>IFERROR(VLOOKUP(C167,Merchants!$A$2:$D$41,2,FALSE),"Merchant not found")</f>
        <v>Merchant_015</v>
      </c>
      <c r="J167" t="str">
        <f>IFERROR(VLOOKUP(C167,Merchants!$A$2:$D$41,3,FALSE),"Merchant not found")</f>
        <v>travel</v>
      </c>
      <c r="K167" t="str">
        <f>IFERROR(VLOOKUP(C167,Merchants!$A$2:$D$41,4,FALSE),"Merchant not found")</f>
        <v>North</v>
      </c>
      <c r="L167" s="2">
        <f>HLOOKUP(F167,Fee_lookup!$A$2:$E$3,2,FALSE)</f>
        <v>2.0000000000000001E-4</v>
      </c>
      <c r="M167" s="6">
        <f t="shared" si="6"/>
        <v>46035</v>
      </c>
      <c r="N167">
        <f t="shared" si="7"/>
        <v>299</v>
      </c>
      <c r="O167" t="str">
        <f t="shared" si="8"/>
        <v>Normal Merchant Day</v>
      </c>
    </row>
    <row r="168" spans="1:15" x14ac:dyDescent="0.3">
      <c r="A168" t="s">
        <v>235</v>
      </c>
      <c r="B168">
        <v>288</v>
      </c>
      <c r="C168">
        <v>21</v>
      </c>
      <c r="D168" s="1">
        <v>46023.830555555556</v>
      </c>
      <c r="E168">
        <v>4999</v>
      </c>
      <c r="F168" t="s">
        <v>63</v>
      </c>
      <c r="G168" t="s">
        <v>79</v>
      </c>
      <c r="H168">
        <v>78</v>
      </c>
      <c r="I168" t="str">
        <f>IFERROR(VLOOKUP(C168,Merchants!$A$2:$D$41,2,FALSE),"Merchant not found")</f>
        <v>Merchant_021</v>
      </c>
      <c r="J168" t="str">
        <f>IFERROR(VLOOKUP(C168,Merchants!$A$2:$D$41,3,FALSE),"Merchant not found")</f>
        <v>food_delivery</v>
      </c>
      <c r="K168" t="str">
        <f>IFERROR(VLOOKUP(C168,Merchants!$A$2:$D$41,4,FALSE),"Merchant not found")</f>
        <v>East</v>
      </c>
      <c r="L168" s="2">
        <f>HLOOKUP(F168,Fee_lookup!$A$2:$E$3,2,FALSE)</f>
        <v>5.0000000000000001E-4</v>
      </c>
      <c r="M168" s="6">
        <f t="shared" si="6"/>
        <v>46023</v>
      </c>
      <c r="N168">
        <f t="shared" si="7"/>
        <v>5298</v>
      </c>
      <c r="O168" t="str">
        <f t="shared" si="8"/>
        <v>Normal Merchant Day</v>
      </c>
    </row>
    <row r="169" spans="1:15" x14ac:dyDescent="0.3">
      <c r="A169" t="s">
        <v>236</v>
      </c>
      <c r="B169">
        <v>326</v>
      </c>
      <c r="C169">
        <v>30</v>
      </c>
      <c r="D169" s="1">
        <v>46030.836111111108</v>
      </c>
      <c r="E169">
        <v>99</v>
      </c>
      <c r="F169" t="s">
        <v>78</v>
      </c>
      <c r="G169" t="s">
        <v>64</v>
      </c>
      <c r="H169">
        <v>89</v>
      </c>
      <c r="I169" t="str">
        <f>IFERROR(VLOOKUP(C169,Merchants!$A$2:$D$41,2,FALSE),"Merchant not found")</f>
        <v>Merchant_030</v>
      </c>
      <c r="J169" t="str">
        <f>IFERROR(VLOOKUP(C169,Merchants!$A$2:$D$41,3,FALSE),"Merchant not found")</f>
        <v>travel</v>
      </c>
      <c r="K169" t="str">
        <f>IFERROR(VLOOKUP(C169,Merchants!$A$2:$D$41,4,FALSE),"Merchant not found")</f>
        <v>West</v>
      </c>
      <c r="L169" s="2">
        <f>HLOOKUP(F169,Fee_lookup!$A$2:$E$3,2,FALSE)</f>
        <v>1.4999999999999999E-2</v>
      </c>
      <c r="M169" s="6">
        <f t="shared" si="6"/>
        <v>46030</v>
      </c>
      <c r="N169">
        <f t="shared" si="7"/>
        <v>1197</v>
      </c>
      <c r="O169" t="str">
        <f t="shared" si="8"/>
        <v>Normal Merchant Day</v>
      </c>
    </row>
    <row r="170" spans="1:15" x14ac:dyDescent="0.3">
      <c r="A170" t="s">
        <v>237</v>
      </c>
      <c r="B170">
        <v>60</v>
      </c>
      <c r="C170">
        <v>9</v>
      </c>
      <c r="D170" s="1">
        <v>46032.851388888892</v>
      </c>
      <c r="E170">
        <v>49</v>
      </c>
      <c r="F170" t="s">
        <v>69</v>
      </c>
      <c r="G170" t="s">
        <v>64</v>
      </c>
      <c r="H170">
        <v>5</v>
      </c>
      <c r="I170" t="str">
        <f>IFERROR(VLOOKUP(C170,Merchants!$A$2:$D$41,2,FALSE),"Merchant not found")</f>
        <v>Merchant_009</v>
      </c>
      <c r="J170" t="str">
        <f>IFERROR(VLOOKUP(C170,Merchants!$A$2:$D$41,3,FALSE),"Merchant not found")</f>
        <v>ecommerce</v>
      </c>
      <c r="K170" t="str">
        <f>IFERROR(VLOOKUP(C170,Merchants!$A$2:$D$41,4,FALSE),"Merchant not found")</f>
        <v>North</v>
      </c>
      <c r="L170" s="2">
        <f>HLOOKUP(F170,Fee_lookup!$A$2:$E$3,2,FALSE)</f>
        <v>0.01</v>
      </c>
      <c r="M170" s="6">
        <f t="shared" si="6"/>
        <v>46032</v>
      </c>
      <c r="N170">
        <f t="shared" si="7"/>
        <v>49</v>
      </c>
      <c r="O170" t="str">
        <f t="shared" si="8"/>
        <v>Normal Merchant Day</v>
      </c>
    </row>
    <row r="171" spans="1:15" x14ac:dyDescent="0.3">
      <c r="A171" t="s">
        <v>238</v>
      </c>
      <c r="B171">
        <v>60</v>
      </c>
      <c r="C171">
        <v>7</v>
      </c>
      <c r="D171" s="1">
        <v>46024.396527777775</v>
      </c>
      <c r="E171">
        <v>2999</v>
      </c>
      <c r="F171" t="s">
        <v>63</v>
      </c>
      <c r="G171" t="s">
        <v>64</v>
      </c>
      <c r="H171">
        <v>30</v>
      </c>
      <c r="I171" t="str">
        <f>IFERROR(VLOOKUP(C171,Merchants!$A$2:$D$41,2,FALSE),"Merchant not found")</f>
        <v>Merchant_007</v>
      </c>
      <c r="J171" t="str">
        <f>IFERROR(VLOOKUP(C171,Merchants!$A$2:$D$41,3,FALSE),"Merchant not found")</f>
        <v>food_delivery</v>
      </c>
      <c r="K171" t="str">
        <f>IFERROR(VLOOKUP(C171,Merchants!$A$2:$D$41,4,FALSE),"Merchant not found")</f>
        <v>East</v>
      </c>
      <c r="L171" s="2">
        <f>HLOOKUP(F171,Fee_lookup!$A$2:$E$3,2,FALSE)</f>
        <v>5.0000000000000001E-4</v>
      </c>
      <c r="M171" s="6">
        <f t="shared" si="6"/>
        <v>46024</v>
      </c>
      <c r="N171">
        <f t="shared" si="7"/>
        <v>3797</v>
      </c>
      <c r="O171" t="str">
        <f t="shared" si="8"/>
        <v>Normal Merchant Day</v>
      </c>
    </row>
    <row r="172" spans="1:15" x14ac:dyDescent="0.3">
      <c r="A172" t="s">
        <v>239</v>
      </c>
      <c r="B172">
        <v>199</v>
      </c>
      <c r="C172">
        <v>30</v>
      </c>
      <c r="D172" s="1">
        <v>46051.713888888888</v>
      </c>
      <c r="E172">
        <v>149</v>
      </c>
      <c r="F172" t="s">
        <v>69</v>
      </c>
      <c r="G172" t="s">
        <v>64</v>
      </c>
      <c r="H172">
        <v>47</v>
      </c>
      <c r="I172" t="str">
        <f>IFERROR(VLOOKUP(C172,Merchants!$A$2:$D$41,2,FALSE),"Merchant not found")</f>
        <v>Merchant_030</v>
      </c>
      <c r="J172" t="str">
        <f>IFERROR(VLOOKUP(C172,Merchants!$A$2:$D$41,3,FALSE),"Merchant not found")</f>
        <v>travel</v>
      </c>
      <c r="K172" t="str">
        <f>IFERROR(VLOOKUP(C172,Merchants!$A$2:$D$41,4,FALSE),"Merchant not found")</f>
        <v>West</v>
      </c>
      <c r="L172" s="2">
        <f>HLOOKUP(F172,Fee_lookup!$A$2:$E$3,2,FALSE)</f>
        <v>0.01</v>
      </c>
      <c r="M172" s="6">
        <f t="shared" si="6"/>
        <v>46051</v>
      </c>
      <c r="N172">
        <f t="shared" si="7"/>
        <v>149</v>
      </c>
      <c r="O172" t="str">
        <f t="shared" si="8"/>
        <v>Normal Merchant Day</v>
      </c>
    </row>
    <row r="173" spans="1:15" x14ac:dyDescent="0.3">
      <c r="A173" t="s">
        <v>240</v>
      </c>
      <c r="B173">
        <v>277</v>
      </c>
      <c r="C173">
        <v>27</v>
      </c>
      <c r="D173" s="1">
        <v>46044.988888888889</v>
      </c>
      <c r="E173">
        <v>49</v>
      </c>
      <c r="F173" t="s">
        <v>66</v>
      </c>
      <c r="G173" t="s">
        <v>64</v>
      </c>
      <c r="H173">
        <v>75</v>
      </c>
      <c r="I173" t="str">
        <f>IFERROR(VLOOKUP(C173,Merchants!$A$2:$D$41,2,FALSE),"Merchant not found")</f>
        <v>Merchant_027</v>
      </c>
      <c r="J173" t="str">
        <f>IFERROR(VLOOKUP(C173,Merchants!$A$2:$D$41,3,FALSE),"Merchant not found")</f>
        <v>ecommerce</v>
      </c>
      <c r="K173" t="str">
        <f>IFERROR(VLOOKUP(C173,Merchants!$A$2:$D$41,4,FALSE),"Merchant not found")</f>
        <v>North</v>
      </c>
      <c r="L173" s="2">
        <f>HLOOKUP(F173,Fee_lookup!$A$2:$E$3,2,FALSE)</f>
        <v>2.0000000000000001E-4</v>
      </c>
      <c r="M173" s="6">
        <f t="shared" si="6"/>
        <v>46044</v>
      </c>
      <c r="N173">
        <f t="shared" si="7"/>
        <v>49</v>
      </c>
      <c r="O173" t="str">
        <f t="shared" si="8"/>
        <v>Normal Merchant Day</v>
      </c>
    </row>
    <row r="174" spans="1:15" x14ac:dyDescent="0.3">
      <c r="A174" t="s">
        <v>241</v>
      </c>
      <c r="B174">
        <v>213</v>
      </c>
      <c r="C174">
        <v>7</v>
      </c>
      <c r="D174" s="1">
        <v>46046.964583333334</v>
      </c>
      <c r="E174">
        <v>799</v>
      </c>
      <c r="F174" t="s">
        <v>69</v>
      </c>
      <c r="G174" t="s">
        <v>64</v>
      </c>
      <c r="H174">
        <v>62</v>
      </c>
      <c r="I174" t="str">
        <f>IFERROR(VLOOKUP(C174,Merchants!$A$2:$D$41,2,FALSE),"Merchant not found")</f>
        <v>Merchant_007</v>
      </c>
      <c r="J174" t="str">
        <f>IFERROR(VLOOKUP(C174,Merchants!$A$2:$D$41,3,FALSE),"Merchant not found")</f>
        <v>food_delivery</v>
      </c>
      <c r="K174" t="str">
        <f>IFERROR(VLOOKUP(C174,Merchants!$A$2:$D$41,4,FALSE),"Merchant not found")</f>
        <v>East</v>
      </c>
      <c r="L174" s="2">
        <f>HLOOKUP(F174,Fee_lookup!$A$2:$E$3,2,FALSE)</f>
        <v>0.01</v>
      </c>
      <c r="M174" s="6">
        <f t="shared" si="6"/>
        <v>46046</v>
      </c>
      <c r="N174">
        <f t="shared" si="7"/>
        <v>1298</v>
      </c>
      <c r="O174" t="str">
        <f t="shared" si="8"/>
        <v>Normal Merchant Day</v>
      </c>
    </row>
    <row r="175" spans="1:15" x14ac:dyDescent="0.3">
      <c r="A175" t="s">
        <v>242</v>
      </c>
      <c r="B175">
        <v>17</v>
      </c>
      <c r="C175">
        <v>24</v>
      </c>
      <c r="D175" s="1">
        <v>46042.553472222222</v>
      </c>
      <c r="E175">
        <v>299</v>
      </c>
      <c r="F175" t="s">
        <v>66</v>
      </c>
      <c r="G175" t="s">
        <v>64</v>
      </c>
      <c r="H175">
        <v>27</v>
      </c>
      <c r="I175" t="str">
        <f>IFERROR(VLOOKUP(C175,Merchants!$A$2:$D$41,2,FALSE),"Merchant not found")</f>
        <v>Merchant_024</v>
      </c>
      <c r="J175" t="str">
        <f>IFERROR(VLOOKUP(C175,Merchants!$A$2:$D$41,3,FALSE),"Merchant not found")</f>
        <v>grocery</v>
      </c>
      <c r="K175" t="str">
        <f>IFERROR(VLOOKUP(C175,Merchants!$A$2:$D$41,4,FALSE),"Merchant not found")</f>
        <v>North</v>
      </c>
      <c r="L175" s="2">
        <f>HLOOKUP(F175,Fee_lookup!$A$2:$E$3,2,FALSE)</f>
        <v>2.0000000000000001E-4</v>
      </c>
      <c r="M175" s="6">
        <f t="shared" si="6"/>
        <v>46042</v>
      </c>
      <c r="N175">
        <f t="shared" si="7"/>
        <v>299</v>
      </c>
      <c r="O175" t="str">
        <f t="shared" si="8"/>
        <v>Normal Merchant Day</v>
      </c>
    </row>
    <row r="176" spans="1:15" x14ac:dyDescent="0.3">
      <c r="A176" t="s">
        <v>243</v>
      </c>
      <c r="B176">
        <v>186</v>
      </c>
      <c r="C176">
        <v>7</v>
      </c>
      <c r="D176" s="1">
        <v>46037.59375</v>
      </c>
      <c r="E176">
        <v>1499</v>
      </c>
      <c r="F176" t="s">
        <v>78</v>
      </c>
      <c r="G176" t="s">
        <v>79</v>
      </c>
      <c r="H176">
        <v>87</v>
      </c>
      <c r="I176" t="str">
        <f>IFERROR(VLOOKUP(C176,Merchants!$A$2:$D$41,2,FALSE),"Merchant not found")</f>
        <v>Merchant_007</v>
      </c>
      <c r="J176" t="str">
        <f>IFERROR(VLOOKUP(C176,Merchants!$A$2:$D$41,3,FALSE),"Merchant not found")</f>
        <v>food_delivery</v>
      </c>
      <c r="K176" t="str">
        <f>IFERROR(VLOOKUP(C176,Merchants!$A$2:$D$41,4,FALSE),"Merchant not found")</f>
        <v>East</v>
      </c>
      <c r="L176" s="2">
        <f>HLOOKUP(F176,Fee_lookup!$A$2:$E$3,2,FALSE)</f>
        <v>1.4999999999999999E-2</v>
      </c>
      <c r="M176" s="6">
        <f t="shared" si="6"/>
        <v>46037</v>
      </c>
      <c r="N176">
        <f t="shared" si="7"/>
        <v>1648</v>
      </c>
      <c r="O176" t="str">
        <f t="shared" si="8"/>
        <v>Normal Merchant Day</v>
      </c>
    </row>
    <row r="177" spans="1:15" x14ac:dyDescent="0.3">
      <c r="A177" t="s">
        <v>244</v>
      </c>
      <c r="B177">
        <v>331</v>
      </c>
      <c r="C177">
        <v>23</v>
      </c>
      <c r="D177" s="1">
        <v>46034.747916666667</v>
      </c>
      <c r="E177">
        <v>149</v>
      </c>
      <c r="F177" t="s">
        <v>66</v>
      </c>
      <c r="G177" t="s">
        <v>64</v>
      </c>
      <c r="H177">
        <v>7</v>
      </c>
      <c r="I177" t="str">
        <f>IFERROR(VLOOKUP(C177,Merchants!$A$2:$D$41,2,FALSE),"Merchant not found")</f>
        <v>Merchant_023</v>
      </c>
      <c r="J177" t="str">
        <f>IFERROR(VLOOKUP(C177,Merchants!$A$2:$D$41,3,FALSE),"Merchant not found")</f>
        <v>travel</v>
      </c>
      <c r="K177" t="str">
        <f>IFERROR(VLOOKUP(C177,Merchants!$A$2:$D$41,4,FALSE),"Merchant not found")</f>
        <v>North</v>
      </c>
      <c r="L177" s="2">
        <f>HLOOKUP(F177,Fee_lookup!$A$2:$E$3,2,FALSE)</f>
        <v>2.0000000000000001E-4</v>
      </c>
      <c r="M177" s="6">
        <f t="shared" si="6"/>
        <v>46034</v>
      </c>
      <c r="N177">
        <f t="shared" si="7"/>
        <v>149</v>
      </c>
      <c r="O177" t="str">
        <f t="shared" si="8"/>
        <v>Normal Merchant Day</v>
      </c>
    </row>
    <row r="178" spans="1:15" x14ac:dyDescent="0.3">
      <c r="A178" t="s">
        <v>245</v>
      </c>
      <c r="B178">
        <v>63</v>
      </c>
      <c r="C178">
        <v>30</v>
      </c>
      <c r="D178" s="1">
        <v>46035.341666666667</v>
      </c>
      <c r="E178">
        <v>1499</v>
      </c>
      <c r="F178" t="s">
        <v>78</v>
      </c>
      <c r="G178" t="s">
        <v>64</v>
      </c>
      <c r="H178">
        <v>11</v>
      </c>
      <c r="I178" t="str">
        <f>IFERROR(VLOOKUP(C178,Merchants!$A$2:$D$41,2,FALSE),"Merchant not found")</f>
        <v>Merchant_030</v>
      </c>
      <c r="J178" t="str">
        <f>IFERROR(VLOOKUP(C178,Merchants!$A$2:$D$41,3,FALSE),"Merchant not found")</f>
        <v>travel</v>
      </c>
      <c r="K178" t="str">
        <f>IFERROR(VLOOKUP(C178,Merchants!$A$2:$D$41,4,FALSE),"Merchant not found")</f>
        <v>West</v>
      </c>
      <c r="L178" s="2">
        <f>HLOOKUP(F178,Fee_lookup!$A$2:$E$3,2,FALSE)</f>
        <v>1.4999999999999999E-2</v>
      </c>
      <c r="M178" s="6">
        <f t="shared" si="6"/>
        <v>46035</v>
      </c>
      <c r="N178">
        <f t="shared" si="7"/>
        <v>1499</v>
      </c>
      <c r="O178" t="str">
        <f t="shared" si="8"/>
        <v>Normal Merchant Day</v>
      </c>
    </row>
    <row r="179" spans="1:15" x14ac:dyDescent="0.3">
      <c r="A179" t="s">
        <v>246</v>
      </c>
      <c r="B179">
        <v>328</v>
      </c>
      <c r="C179">
        <v>39</v>
      </c>
      <c r="D179" s="1">
        <v>46044.27847222222</v>
      </c>
      <c r="E179">
        <v>4999</v>
      </c>
      <c r="F179" t="s">
        <v>63</v>
      </c>
      <c r="G179" t="s">
        <v>92</v>
      </c>
      <c r="H179">
        <v>2</v>
      </c>
      <c r="I179" t="str">
        <f>IFERROR(VLOOKUP(C179,Merchants!$A$2:$D$41,2,FALSE),"Merchant not found")</f>
        <v>Merchant_039</v>
      </c>
      <c r="J179" t="str">
        <f>IFERROR(VLOOKUP(C179,Merchants!$A$2:$D$41,3,FALSE),"Merchant not found")</f>
        <v>entertainment</v>
      </c>
      <c r="K179" t="str">
        <f>IFERROR(VLOOKUP(C179,Merchants!$A$2:$D$41,4,FALSE),"Merchant not found")</f>
        <v>North</v>
      </c>
      <c r="L179" s="2">
        <f>HLOOKUP(F179,Fee_lookup!$A$2:$E$3,2,FALSE)</f>
        <v>5.0000000000000001E-4</v>
      </c>
      <c r="M179" s="6">
        <f t="shared" si="6"/>
        <v>46044</v>
      </c>
      <c r="N179">
        <f t="shared" si="7"/>
        <v>9796</v>
      </c>
      <c r="O179" t="str">
        <f t="shared" si="8"/>
        <v>High-Value Merchant Day</v>
      </c>
    </row>
    <row r="180" spans="1:15" x14ac:dyDescent="0.3">
      <c r="A180" t="s">
        <v>247</v>
      </c>
      <c r="B180">
        <v>65</v>
      </c>
      <c r="C180">
        <v>37</v>
      </c>
      <c r="D180" s="1">
        <v>46024.427083333336</v>
      </c>
      <c r="E180">
        <v>2999</v>
      </c>
      <c r="F180" t="s">
        <v>78</v>
      </c>
      <c r="G180" t="s">
        <v>64</v>
      </c>
      <c r="H180">
        <v>26</v>
      </c>
      <c r="I180" t="str">
        <f>IFERROR(VLOOKUP(C180,Merchants!$A$2:$D$41,2,FALSE),"Merchant not found")</f>
        <v>Merchant_037</v>
      </c>
      <c r="J180" t="str">
        <f>IFERROR(VLOOKUP(C180,Merchants!$A$2:$D$41,3,FALSE),"Merchant not found")</f>
        <v>entertainment</v>
      </c>
      <c r="K180" t="str">
        <f>IFERROR(VLOOKUP(C180,Merchants!$A$2:$D$41,4,FALSE),"Merchant not found")</f>
        <v>South</v>
      </c>
      <c r="L180" s="2">
        <f>HLOOKUP(F180,Fee_lookup!$A$2:$E$3,2,FALSE)</f>
        <v>1.4999999999999999E-2</v>
      </c>
      <c r="M180" s="6">
        <f t="shared" si="6"/>
        <v>46024</v>
      </c>
      <c r="N180">
        <f t="shared" si="7"/>
        <v>2999</v>
      </c>
      <c r="O180" t="str">
        <f t="shared" si="8"/>
        <v>Normal Merchant Day</v>
      </c>
    </row>
    <row r="181" spans="1:15" x14ac:dyDescent="0.3">
      <c r="A181" t="s">
        <v>248</v>
      </c>
      <c r="B181">
        <v>301</v>
      </c>
      <c r="C181">
        <v>14</v>
      </c>
      <c r="D181" s="1">
        <v>46025.717361111114</v>
      </c>
      <c r="E181">
        <v>149</v>
      </c>
      <c r="F181" t="s">
        <v>66</v>
      </c>
      <c r="G181" t="s">
        <v>64</v>
      </c>
      <c r="H181">
        <v>29</v>
      </c>
      <c r="I181" t="str">
        <f>IFERROR(VLOOKUP(C181,Merchants!$A$2:$D$41,2,FALSE),"Merchant not found")</f>
        <v>Merchant_014</v>
      </c>
      <c r="J181" t="str">
        <f>IFERROR(VLOOKUP(C181,Merchants!$A$2:$D$41,3,FALSE),"Merchant not found")</f>
        <v>grocery</v>
      </c>
      <c r="K181" t="str">
        <f>IFERROR(VLOOKUP(C181,Merchants!$A$2:$D$41,4,FALSE),"Merchant not found")</f>
        <v>East</v>
      </c>
      <c r="L181" s="2">
        <f>HLOOKUP(F181,Fee_lookup!$A$2:$E$3,2,FALSE)</f>
        <v>2.0000000000000001E-4</v>
      </c>
      <c r="M181" s="6">
        <f t="shared" si="6"/>
        <v>46025</v>
      </c>
      <c r="N181">
        <f t="shared" si="7"/>
        <v>149</v>
      </c>
      <c r="O181" t="str">
        <f t="shared" si="8"/>
        <v>Normal Merchant Day</v>
      </c>
    </row>
    <row r="182" spans="1:15" x14ac:dyDescent="0.3">
      <c r="A182" t="s">
        <v>249</v>
      </c>
      <c r="B182">
        <v>306</v>
      </c>
      <c r="C182">
        <v>1</v>
      </c>
      <c r="D182" s="1">
        <v>46033.201388888891</v>
      </c>
      <c r="E182">
        <v>299</v>
      </c>
      <c r="F182" t="s">
        <v>66</v>
      </c>
      <c r="G182" t="s">
        <v>79</v>
      </c>
      <c r="H182">
        <v>35</v>
      </c>
      <c r="I182" t="str">
        <f>IFERROR(VLOOKUP(C182,Merchants!$A$2:$D$41,2,FALSE),"Merchant not found")</f>
        <v>Merchant_001</v>
      </c>
      <c r="J182" t="str">
        <f>IFERROR(VLOOKUP(C182,Merchants!$A$2:$D$41,3,FALSE),"Merchant not found")</f>
        <v>ecommerce</v>
      </c>
      <c r="K182" t="str">
        <f>IFERROR(VLOOKUP(C182,Merchants!$A$2:$D$41,4,FALSE),"Merchant not found")</f>
        <v>South</v>
      </c>
      <c r="L182" s="2">
        <f>HLOOKUP(F182,Fee_lookup!$A$2:$E$3,2,FALSE)</f>
        <v>2.0000000000000001E-4</v>
      </c>
      <c r="M182" s="6">
        <f t="shared" si="6"/>
        <v>46033</v>
      </c>
      <c r="N182">
        <f t="shared" si="7"/>
        <v>299</v>
      </c>
      <c r="O182" t="str">
        <f t="shared" si="8"/>
        <v>Normal Merchant Day</v>
      </c>
    </row>
    <row r="183" spans="1:15" x14ac:dyDescent="0.3">
      <c r="A183" t="s">
        <v>250</v>
      </c>
      <c r="B183">
        <v>277</v>
      </c>
      <c r="C183">
        <v>17</v>
      </c>
      <c r="D183" s="1">
        <v>46050.172222222223</v>
      </c>
      <c r="E183">
        <v>299</v>
      </c>
      <c r="F183" t="s">
        <v>66</v>
      </c>
      <c r="G183" t="s">
        <v>64</v>
      </c>
      <c r="H183">
        <v>22</v>
      </c>
      <c r="I183" t="str">
        <f>IFERROR(VLOOKUP(C183,Merchants!$A$2:$D$41,2,FALSE),"Merchant not found")</f>
        <v>Merchant_017</v>
      </c>
      <c r="J183" t="str">
        <f>IFERROR(VLOOKUP(C183,Merchants!$A$2:$D$41,3,FALSE),"Merchant not found")</f>
        <v>grocery</v>
      </c>
      <c r="K183" t="str">
        <f>IFERROR(VLOOKUP(C183,Merchants!$A$2:$D$41,4,FALSE),"Merchant not found")</f>
        <v>North</v>
      </c>
      <c r="L183" s="2">
        <f>HLOOKUP(F183,Fee_lookup!$A$2:$E$3,2,FALSE)</f>
        <v>2.0000000000000001E-4</v>
      </c>
      <c r="M183" s="6">
        <f t="shared" si="6"/>
        <v>46050</v>
      </c>
      <c r="N183">
        <f t="shared" si="7"/>
        <v>299</v>
      </c>
      <c r="O183" t="str">
        <f t="shared" si="8"/>
        <v>Normal Merchant Day</v>
      </c>
    </row>
    <row r="184" spans="1:15" x14ac:dyDescent="0.3">
      <c r="A184" t="s">
        <v>251</v>
      </c>
      <c r="B184">
        <v>14</v>
      </c>
      <c r="C184">
        <v>9</v>
      </c>
      <c r="D184" s="1">
        <v>46026.913194444445</v>
      </c>
      <c r="E184">
        <v>499</v>
      </c>
      <c r="F184" t="s">
        <v>66</v>
      </c>
      <c r="G184" t="s">
        <v>64</v>
      </c>
      <c r="H184">
        <v>1</v>
      </c>
      <c r="I184" t="str">
        <f>IFERROR(VLOOKUP(C184,Merchants!$A$2:$D$41,2,FALSE),"Merchant not found")</f>
        <v>Merchant_009</v>
      </c>
      <c r="J184" t="str">
        <f>IFERROR(VLOOKUP(C184,Merchants!$A$2:$D$41,3,FALSE),"Merchant not found")</f>
        <v>ecommerce</v>
      </c>
      <c r="K184" t="str">
        <f>IFERROR(VLOOKUP(C184,Merchants!$A$2:$D$41,4,FALSE),"Merchant not found")</f>
        <v>North</v>
      </c>
      <c r="L184" s="2">
        <f>HLOOKUP(F184,Fee_lookup!$A$2:$E$3,2,FALSE)</f>
        <v>2.0000000000000001E-4</v>
      </c>
      <c r="M184" s="6">
        <f t="shared" si="6"/>
        <v>46026</v>
      </c>
      <c r="N184">
        <f t="shared" si="7"/>
        <v>499</v>
      </c>
      <c r="O184" t="str">
        <f t="shared" si="8"/>
        <v>Normal Merchant Day</v>
      </c>
    </row>
    <row r="185" spans="1:15" x14ac:dyDescent="0.3">
      <c r="A185" t="s">
        <v>252</v>
      </c>
      <c r="B185">
        <v>166</v>
      </c>
      <c r="C185">
        <v>2</v>
      </c>
      <c r="D185" s="1">
        <v>46034.317361111112</v>
      </c>
      <c r="E185">
        <v>299</v>
      </c>
      <c r="F185" t="s">
        <v>78</v>
      </c>
      <c r="G185" t="s">
        <v>64</v>
      </c>
      <c r="H185">
        <v>22</v>
      </c>
      <c r="I185" t="str">
        <f>IFERROR(VLOOKUP(C185,Merchants!$A$2:$D$41,2,FALSE),"Merchant not found")</f>
        <v>Merchant_002</v>
      </c>
      <c r="J185" t="str">
        <f>IFERROR(VLOOKUP(C185,Merchants!$A$2:$D$41,3,FALSE),"Merchant not found")</f>
        <v>grocery</v>
      </c>
      <c r="K185" t="str">
        <f>IFERROR(VLOOKUP(C185,Merchants!$A$2:$D$41,4,FALSE),"Merchant not found")</f>
        <v>West</v>
      </c>
      <c r="L185" s="2">
        <f>HLOOKUP(F185,Fee_lookup!$A$2:$E$3,2,FALSE)</f>
        <v>1.4999999999999999E-2</v>
      </c>
      <c r="M185" s="6">
        <f t="shared" si="6"/>
        <v>46034</v>
      </c>
      <c r="N185">
        <f t="shared" si="7"/>
        <v>348</v>
      </c>
      <c r="O185" t="str">
        <f t="shared" si="8"/>
        <v>Normal Merchant Day</v>
      </c>
    </row>
    <row r="186" spans="1:15" x14ac:dyDescent="0.3">
      <c r="A186" t="s">
        <v>253</v>
      </c>
      <c r="B186">
        <v>216</v>
      </c>
      <c r="C186">
        <v>34</v>
      </c>
      <c r="D186" s="1">
        <v>46031.047222222223</v>
      </c>
      <c r="E186">
        <v>299</v>
      </c>
      <c r="F186" t="s">
        <v>78</v>
      </c>
      <c r="G186" t="s">
        <v>64</v>
      </c>
      <c r="H186">
        <v>14</v>
      </c>
      <c r="I186" t="str">
        <f>IFERROR(VLOOKUP(C186,Merchants!$A$2:$D$41,2,FALSE),"Merchant not found")</f>
        <v>Merchant_034</v>
      </c>
      <c r="J186" t="str">
        <f>IFERROR(VLOOKUP(C186,Merchants!$A$2:$D$41,3,FALSE),"Merchant not found")</f>
        <v>travel</v>
      </c>
      <c r="K186" t="str">
        <f>IFERROR(VLOOKUP(C186,Merchants!$A$2:$D$41,4,FALSE),"Merchant not found")</f>
        <v>South</v>
      </c>
      <c r="L186" s="2">
        <f>HLOOKUP(F186,Fee_lookup!$A$2:$E$3,2,FALSE)</f>
        <v>1.4999999999999999E-2</v>
      </c>
      <c r="M186" s="6">
        <f t="shared" si="6"/>
        <v>46031</v>
      </c>
      <c r="N186">
        <f t="shared" si="7"/>
        <v>299</v>
      </c>
      <c r="O186" t="str">
        <f t="shared" si="8"/>
        <v>Normal Merchant Day</v>
      </c>
    </row>
    <row r="187" spans="1:15" x14ac:dyDescent="0.3">
      <c r="A187" t="s">
        <v>254</v>
      </c>
      <c r="B187">
        <v>230</v>
      </c>
      <c r="C187">
        <v>24</v>
      </c>
      <c r="D187" s="1">
        <v>46046.104166666664</v>
      </c>
      <c r="E187">
        <v>49</v>
      </c>
      <c r="F187" t="s">
        <v>66</v>
      </c>
      <c r="G187" t="s">
        <v>64</v>
      </c>
      <c r="H187">
        <v>65</v>
      </c>
      <c r="I187" t="str">
        <f>IFERROR(VLOOKUP(C187,Merchants!$A$2:$D$41,2,FALSE),"Merchant not found")</f>
        <v>Merchant_024</v>
      </c>
      <c r="J187" t="str">
        <f>IFERROR(VLOOKUP(C187,Merchants!$A$2:$D$41,3,FALSE),"Merchant not found")</f>
        <v>grocery</v>
      </c>
      <c r="K187" t="str">
        <f>IFERROR(VLOOKUP(C187,Merchants!$A$2:$D$41,4,FALSE),"Merchant not found")</f>
        <v>North</v>
      </c>
      <c r="L187" s="2">
        <f>HLOOKUP(F187,Fee_lookup!$A$2:$E$3,2,FALSE)</f>
        <v>2.0000000000000001E-4</v>
      </c>
      <c r="M187" s="6">
        <f t="shared" si="6"/>
        <v>46046</v>
      </c>
      <c r="N187">
        <f t="shared" si="7"/>
        <v>148</v>
      </c>
      <c r="O187" t="str">
        <f t="shared" si="8"/>
        <v>Normal Merchant Day</v>
      </c>
    </row>
    <row r="188" spans="1:15" x14ac:dyDescent="0.3">
      <c r="A188" t="s">
        <v>255</v>
      </c>
      <c r="B188">
        <v>258</v>
      </c>
      <c r="C188">
        <v>15</v>
      </c>
      <c r="D188" s="1">
        <v>46041.144444444442</v>
      </c>
      <c r="E188">
        <v>499</v>
      </c>
      <c r="F188" t="s">
        <v>63</v>
      </c>
      <c r="G188" t="s">
        <v>64</v>
      </c>
      <c r="H188">
        <v>78</v>
      </c>
      <c r="I188" t="str">
        <f>IFERROR(VLOOKUP(C188,Merchants!$A$2:$D$41,2,FALSE),"Merchant not found")</f>
        <v>Merchant_015</v>
      </c>
      <c r="J188" t="str">
        <f>IFERROR(VLOOKUP(C188,Merchants!$A$2:$D$41,3,FALSE),"Merchant not found")</f>
        <v>travel</v>
      </c>
      <c r="K188" t="str">
        <f>IFERROR(VLOOKUP(C188,Merchants!$A$2:$D$41,4,FALSE),"Merchant not found")</f>
        <v>North</v>
      </c>
      <c r="L188" s="2">
        <f>HLOOKUP(F188,Fee_lookup!$A$2:$E$3,2,FALSE)</f>
        <v>5.0000000000000001E-4</v>
      </c>
      <c r="M188" s="6">
        <f t="shared" si="6"/>
        <v>46041</v>
      </c>
      <c r="N188">
        <f t="shared" si="7"/>
        <v>499</v>
      </c>
      <c r="O188" t="str">
        <f t="shared" si="8"/>
        <v>Normal Merchant Day</v>
      </c>
    </row>
    <row r="189" spans="1:15" x14ac:dyDescent="0.3">
      <c r="A189" t="s">
        <v>256</v>
      </c>
      <c r="B189">
        <v>338</v>
      </c>
      <c r="C189">
        <v>34</v>
      </c>
      <c r="D189" s="1">
        <v>46024.993055555555</v>
      </c>
      <c r="E189">
        <v>49</v>
      </c>
      <c r="F189" t="s">
        <v>66</v>
      </c>
      <c r="G189" t="s">
        <v>64</v>
      </c>
      <c r="H189">
        <v>38</v>
      </c>
      <c r="I189" t="str">
        <f>IFERROR(VLOOKUP(C189,Merchants!$A$2:$D$41,2,FALSE),"Merchant not found")</f>
        <v>Merchant_034</v>
      </c>
      <c r="J189" t="str">
        <f>IFERROR(VLOOKUP(C189,Merchants!$A$2:$D$41,3,FALSE),"Merchant not found")</f>
        <v>travel</v>
      </c>
      <c r="K189" t="str">
        <f>IFERROR(VLOOKUP(C189,Merchants!$A$2:$D$41,4,FALSE),"Merchant not found")</f>
        <v>South</v>
      </c>
      <c r="L189" s="2">
        <f>HLOOKUP(F189,Fee_lookup!$A$2:$E$3,2,FALSE)</f>
        <v>2.0000000000000001E-4</v>
      </c>
      <c r="M189" s="6">
        <f t="shared" si="6"/>
        <v>46024</v>
      </c>
      <c r="N189">
        <f t="shared" si="7"/>
        <v>548</v>
      </c>
      <c r="O189" t="str">
        <f t="shared" si="8"/>
        <v>Normal Merchant Day</v>
      </c>
    </row>
    <row r="190" spans="1:15" x14ac:dyDescent="0.3">
      <c r="A190" t="s">
        <v>257</v>
      </c>
      <c r="B190">
        <v>32</v>
      </c>
      <c r="C190">
        <v>31</v>
      </c>
      <c r="D190" s="1">
        <v>46037.834027777775</v>
      </c>
      <c r="E190">
        <v>299</v>
      </c>
      <c r="F190" t="s">
        <v>66</v>
      </c>
      <c r="G190" t="s">
        <v>64</v>
      </c>
      <c r="H190">
        <v>51</v>
      </c>
      <c r="I190" t="str">
        <f>IFERROR(VLOOKUP(C190,Merchants!$A$2:$D$41,2,FALSE),"Merchant not found")</f>
        <v>Merchant_031</v>
      </c>
      <c r="J190" t="str">
        <f>IFERROR(VLOOKUP(C190,Merchants!$A$2:$D$41,3,FALSE),"Merchant not found")</f>
        <v>bill_payment</v>
      </c>
      <c r="K190" t="str">
        <f>IFERROR(VLOOKUP(C190,Merchants!$A$2:$D$41,4,FALSE),"Merchant not found")</f>
        <v>East</v>
      </c>
      <c r="L190" s="2">
        <f>HLOOKUP(F190,Fee_lookup!$A$2:$E$3,2,FALSE)</f>
        <v>2.0000000000000001E-4</v>
      </c>
      <c r="M190" s="6">
        <f t="shared" si="6"/>
        <v>46037</v>
      </c>
      <c r="N190">
        <f t="shared" si="7"/>
        <v>299</v>
      </c>
      <c r="O190" t="str">
        <f t="shared" si="8"/>
        <v>Normal Merchant Day</v>
      </c>
    </row>
    <row r="191" spans="1:15" x14ac:dyDescent="0.3">
      <c r="A191" t="s">
        <v>258</v>
      </c>
      <c r="B191">
        <v>252</v>
      </c>
      <c r="C191">
        <v>29</v>
      </c>
      <c r="D191" s="1">
        <v>46036.879166666666</v>
      </c>
      <c r="E191">
        <v>1499</v>
      </c>
      <c r="F191" t="s">
        <v>66</v>
      </c>
      <c r="G191" t="s">
        <v>64</v>
      </c>
      <c r="H191">
        <v>9</v>
      </c>
      <c r="I191" t="str">
        <f>IFERROR(VLOOKUP(C191,Merchants!$A$2:$D$41,2,FALSE),"Merchant not found")</f>
        <v>Merchant_029</v>
      </c>
      <c r="J191" t="str">
        <f>IFERROR(VLOOKUP(C191,Merchants!$A$2:$D$41,3,FALSE),"Merchant not found")</f>
        <v>ecommerce</v>
      </c>
      <c r="K191" t="str">
        <f>IFERROR(VLOOKUP(C191,Merchants!$A$2:$D$41,4,FALSE),"Merchant not found")</f>
        <v>North</v>
      </c>
      <c r="L191" s="2">
        <f>HLOOKUP(F191,Fee_lookup!$A$2:$E$3,2,FALSE)</f>
        <v>2.0000000000000001E-4</v>
      </c>
      <c r="M191" s="6">
        <f t="shared" si="6"/>
        <v>46036</v>
      </c>
      <c r="N191">
        <f t="shared" si="7"/>
        <v>1998</v>
      </c>
      <c r="O191" t="str">
        <f t="shared" si="8"/>
        <v>Normal Merchant Day</v>
      </c>
    </row>
    <row r="192" spans="1:15" x14ac:dyDescent="0.3">
      <c r="A192" t="s">
        <v>259</v>
      </c>
      <c r="B192">
        <v>312</v>
      </c>
      <c r="C192">
        <v>10</v>
      </c>
      <c r="D192" s="1">
        <v>46051.097222222219</v>
      </c>
      <c r="E192">
        <v>799</v>
      </c>
      <c r="F192" t="s">
        <v>66</v>
      </c>
      <c r="G192" t="s">
        <v>64</v>
      </c>
      <c r="H192">
        <v>8</v>
      </c>
      <c r="I192" t="str">
        <f>IFERROR(VLOOKUP(C192,Merchants!$A$2:$D$41,2,FALSE),"Merchant not found")</f>
        <v>Merchant_010</v>
      </c>
      <c r="J192" t="str">
        <f>IFERROR(VLOOKUP(C192,Merchants!$A$2:$D$41,3,FALSE),"Merchant not found")</f>
        <v>grocery</v>
      </c>
      <c r="K192" t="str">
        <f>IFERROR(VLOOKUP(C192,Merchants!$A$2:$D$41,4,FALSE),"Merchant not found")</f>
        <v>West</v>
      </c>
      <c r="L192" s="2">
        <f>HLOOKUP(F192,Fee_lookup!$A$2:$E$3,2,FALSE)</f>
        <v>2.0000000000000001E-4</v>
      </c>
      <c r="M192" s="6">
        <f t="shared" si="6"/>
        <v>46051</v>
      </c>
      <c r="N192">
        <f t="shared" si="7"/>
        <v>799</v>
      </c>
      <c r="O192" t="str">
        <f t="shared" si="8"/>
        <v>Normal Merchant Day</v>
      </c>
    </row>
    <row r="193" spans="1:15" x14ac:dyDescent="0.3">
      <c r="A193" t="s">
        <v>260</v>
      </c>
      <c r="B193">
        <v>325</v>
      </c>
      <c r="C193">
        <v>38</v>
      </c>
      <c r="D193" s="1">
        <v>46027.36041666667</v>
      </c>
      <c r="E193">
        <v>1499</v>
      </c>
      <c r="F193" t="s">
        <v>69</v>
      </c>
      <c r="G193" t="s">
        <v>64</v>
      </c>
      <c r="H193">
        <v>70</v>
      </c>
      <c r="I193" t="str">
        <f>IFERROR(VLOOKUP(C193,Merchants!$A$2:$D$41,2,FALSE),"Merchant not found")</f>
        <v>Merchant_038</v>
      </c>
      <c r="J193" t="str">
        <f>IFERROR(VLOOKUP(C193,Merchants!$A$2:$D$41,3,FALSE),"Merchant not found")</f>
        <v>grocery</v>
      </c>
      <c r="K193" t="str">
        <f>IFERROR(VLOOKUP(C193,Merchants!$A$2:$D$41,4,FALSE),"Merchant not found")</f>
        <v>East</v>
      </c>
      <c r="L193" s="2">
        <f>HLOOKUP(F193,Fee_lookup!$A$2:$E$3,2,FALSE)</f>
        <v>0.01</v>
      </c>
      <c r="M193" s="6">
        <f t="shared" si="6"/>
        <v>46027</v>
      </c>
      <c r="N193">
        <f t="shared" si="7"/>
        <v>1499</v>
      </c>
      <c r="O193" t="str">
        <f t="shared" si="8"/>
        <v>Normal Merchant Day</v>
      </c>
    </row>
    <row r="194" spans="1:15" x14ac:dyDescent="0.3">
      <c r="A194" t="s">
        <v>261</v>
      </c>
      <c r="B194">
        <v>306</v>
      </c>
      <c r="C194">
        <v>34</v>
      </c>
      <c r="D194" s="1">
        <v>46045.433333333334</v>
      </c>
      <c r="E194">
        <v>2999</v>
      </c>
      <c r="F194" t="s">
        <v>66</v>
      </c>
      <c r="G194" t="s">
        <v>64</v>
      </c>
      <c r="H194">
        <v>37</v>
      </c>
      <c r="I194" t="str">
        <f>IFERROR(VLOOKUP(C194,Merchants!$A$2:$D$41,2,FALSE),"Merchant not found")</f>
        <v>Merchant_034</v>
      </c>
      <c r="J194" t="str">
        <f>IFERROR(VLOOKUP(C194,Merchants!$A$2:$D$41,3,FALSE),"Merchant not found")</f>
        <v>travel</v>
      </c>
      <c r="K194" t="str">
        <f>IFERROR(VLOOKUP(C194,Merchants!$A$2:$D$41,4,FALSE),"Merchant not found")</f>
        <v>South</v>
      </c>
      <c r="L194" s="2">
        <f>HLOOKUP(F194,Fee_lookup!$A$2:$E$3,2,FALSE)</f>
        <v>2.0000000000000001E-4</v>
      </c>
      <c r="M194" s="6">
        <f t="shared" si="6"/>
        <v>46045</v>
      </c>
      <c r="N194">
        <f t="shared" si="7"/>
        <v>3148</v>
      </c>
      <c r="O194" t="str">
        <f t="shared" si="8"/>
        <v>Normal Merchant Day</v>
      </c>
    </row>
    <row r="195" spans="1:15" x14ac:dyDescent="0.3">
      <c r="A195" t="s">
        <v>262</v>
      </c>
      <c r="B195">
        <v>221</v>
      </c>
      <c r="C195">
        <v>7</v>
      </c>
      <c r="D195" s="1">
        <v>46037.693055555559</v>
      </c>
      <c r="E195">
        <v>149</v>
      </c>
      <c r="F195" t="s">
        <v>69</v>
      </c>
      <c r="G195" t="s">
        <v>64</v>
      </c>
      <c r="H195">
        <v>89</v>
      </c>
      <c r="I195" t="str">
        <f>IFERROR(VLOOKUP(C195,Merchants!$A$2:$D$41,2,FALSE),"Merchant not found")</f>
        <v>Merchant_007</v>
      </c>
      <c r="J195" t="str">
        <f>IFERROR(VLOOKUP(C195,Merchants!$A$2:$D$41,3,FALSE),"Merchant not found")</f>
        <v>food_delivery</v>
      </c>
      <c r="K195" t="str">
        <f>IFERROR(VLOOKUP(C195,Merchants!$A$2:$D$41,4,FALSE),"Merchant not found")</f>
        <v>East</v>
      </c>
      <c r="L195" s="2">
        <f>HLOOKUP(F195,Fee_lookup!$A$2:$E$3,2,FALSE)</f>
        <v>0.01</v>
      </c>
      <c r="M195" s="6">
        <f t="shared" ref="M195:M258" si="9">INT(D195)</f>
        <v>46037</v>
      </c>
      <c r="N195">
        <f t="shared" ref="N195:N258" si="10">SUMIFS($E:$E,$C:$C,C195,$M:$M,M195)</f>
        <v>1648</v>
      </c>
      <c r="O195" t="str">
        <f t="shared" ref="O195:O258" si="11">IF(AND(N195&gt;5000,K195&lt;&gt;"East"),"High-Value Merchant Day","Normal Merchant Day")</f>
        <v>Normal Merchant Day</v>
      </c>
    </row>
    <row r="196" spans="1:15" x14ac:dyDescent="0.3">
      <c r="A196" t="s">
        <v>263</v>
      </c>
      <c r="B196">
        <v>283</v>
      </c>
      <c r="C196">
        <v>14</v>
      </c>
      <c r="D196" s="1">
        <v>46026.861805555556</v>
      </c>
      <c r="E196">
        <v>99</v>
      </c>
      <c r="F196" t="s">
        <v>63</v>
      </c>
      <c r="G196" t="s">
        <v>64</v>
      </c>
      <c r="H196">
        <v>55</v>
      </c>
      <c r="I196" t="str">
        <f>IFERROR(VLOOKUP(C196,Merchants!$A$2:$D$41,2,FALSE),"Merchant not found")</f>
        <v>Merchant_014</v>
      </c>
      <c r="J196" t="str">
        <f>IFERROR(VLOOKUP(C196,Merchants!$A$2:$D$41,3,FALSE),"Merchant not found")</f>
        <v>grocery</v>
      </c>
      <c r="K196" t="str">
        <f>IFERROR(VLOOKUP(C196,Merchants!$A$2:$D$41,4,FALSE),"Merchant not found")</f>
        <v>East</v>
      </c>
      <c r="L196" s="2">
        <f>HLOOKUP(F196,Fee_lookup!$A$2:$E$3,2,FALSE)</f>
        <v>5.0000000000000001E-4</v>
      </c>
      <c r="M196" s="6">
        <f t="shared" si="9"/>
        <v>46026</v>
      </c>
      <c r="N196">
        <f t="shared" si="10"/>
        <v>99</v>
      </c>
      <c r="O196" t="str">
        <f t="shared" si="11"/>
        <v>Normal Merchant Day</v>
      </c>
    </row>
    <row r="197" spans="1:15" x14ac:dyDescent="0.3">
      <c r="A197" t="s">
        <v>264</v>
      </c>
      <c r="B197">
        <v>174</v>
      </c>
      <c r="C197">
        <v>30</v>
      </c>
      <c r="D197" s="1">
        <v>46037.30972222222</v>
      </c>
      <c r="E197">
        <v>49</v>
      </c>
      <c r="F197" t="s">
        <v>66</v>
      </c>
      <c r="G197" t="s">
        <v>64</v>
      </c>
      <c r="H197">
        <v>51</v>
      </c>
      <c r="I197" t="str">
        <f>IFERROR(VLOOKUP(C197,Merchants!$A$2:$D$41,2,FALSE),"Merchant not found")</f>
        <v>Merchant_030</v>
      </c>
      <c r="J197" t="str">
        <f>IFERROR(VLOOKUP(C197,Merchants!$A$2:$D$41,3,FALSE),"Merchant not found")</f>
        <v>travel</v>
      </c>
      <c r="K197" t="str">
        <f>IFERROR(VLOOKUP(C197,Merchants!$A$2:$D$41,4,FALSE),"Merchant not found")</f>
        <v>West</v>
      </c>
      <c r="L197" s="2">
        <f>HLOOKUP(F197,Fee_lookup!$A$2:$E$3,2,FALSE)</f>
        <v>2.0000000000000001E-4</v>
      </c>
      <c r="M197" s="6">
        <f t="shared" si="9"/>
        <v>46037</v>
      </c>
      <c r="N197">
        <f t="shared" si="10"/>
        <v>49</v>
      </c>
      <c r="O197" t="str">
        <f t="shared" si="11"/>
        <v>Normal Merchant Day</v>
      </c>
    </row>
    <row r="198" spans="1:15" x14ac:dyDescent="0.3">
      <c r="A198" t="s">
        <v>265</v>
      </c>
      <c r="B198">
        <v>161</v>
      </c>
      <c r="C198">
        <v>28</v>
      </c>
      <c r="D198" s="1">
        <v>46036.962500000001</v>
      </c>
      <c r="E198">
        <v>49</v>
      </c>
      <c r="F198" t="s">
        <v>66</v>
      </c>
      <c r="G198" t="s">
        <v>64</v>
      </c>
      <c r="H198">
        <v>40</v>
      </c>
      <c r="I198" t="str">
        <f>IFERROR(VLOOKUP(C198,Merchants!$A$2:$D$41,2,FALSE),"Merchant not found")</f>
        <v>Merchant_028</v>
      </c>
      <c r="J198" t="str">
        <f>IFERROR(VLOOKUP(C198,Merchants!$A$2:$D$41,3,FALSE),"Merchant not found")</f>
        <v>ecommerce</v>
      </c>
      <c r="K198" t="str">
        <f>IFERROR(VLOOKUP(C198,Merchants!$A$2:$D$41,4,FALSE),"Merchant not found")</f>
        <v>South</v>
      </c>
      <c r="L198" s="2">
        <f>HLOOKUP(F198,Fee_lookup!$A$2:$E$3,2,FALSE)</f>
        <v>2.0000000000000001E-4</v>
      </c>
      <c r="M198" s="6">
        <f t="shared" si="9"/>
        <v>46036</v>
      </c>
      <c r="N198">
        <f t="shared" si="10"/>
        <v>49</v>
      </c>
      <c r="O198" t="str">
        <f t="shared" si="11"/>
        <v>Normal Merchant Day</v>
      </c>
    </row>
    <row r="199" spans="1:15" x14ac:dyDescent="0.3">
      <c r="A199" t="s">
        <v>266</v>
      </c>
      <c r="B199">
        <v>79</v>
      </c>
      <c r="C199">
        <v>31</v>
      </c>
      <c r="D199" s="1">
        <v>46044.349305555559</v>
      </c>
      <c r="E199">
        <v>99</v>
      </c>
      <c r="F199" t="s">
        <v>66</v>
      </c>
      <c r="G199" t="s">
        <v>64</v>
      </c>
      <c r="H199">
        <v>8</v>
      </c>
      <c r="I199" t="str">
        <f>IFERROR(VLOOKUP(C199,Merchants!$A$2:$D$41,2,FALSE),"Merchant not found")</f>
        <v>Merchant_031</v>
      </c>
      <c r="J199" t="str">
        <f>IFERROR(VLOOKUP(C199,Merchants!$A$2:$D$41,3,FALSE),"Merchant not found")</f>
        <v>bill_payment</v>
      </c>
      <c r="K199" t="str">
        <f>IFERROR(VLOOKUP(C199,Merchants!$A$2:$D$41,4,FALSE),"Merchant not found")</f>
        <v>East</v>
      </c>
      <c r="L199" s="2">
        <f>HLOOKUP(F199,Fee_lookup!$A$2:$E$3,2,FALSE)</f>
        <v>2.0000000000000001E-4</v>
      </c>
      <c r="M199" s="6">
        <f t="shared" si="9"/>
        <v>46044</v>
      </c>
      <c r="N199">
        <f t="shared" si="10"/>
        <v>99</v>
      </c>
      <c r="O199" t="str">
        <f t="shared" si="11"/>
        <v>Normal Merchant Day</v>
      </c>
    </row>
    <row r="200" spans="1:15" x14ac:dyDescent="0.3">
      <c r="A200" t="s">
        <v>267</v>
      </c>
      <c r="B200">
        <v>222</v>
      </c>
      <c r="C200">
        <v>7</v>
      </c>
      <c r="D200" s="1">
        <v>46025.086805555555</v>
      </c>
      <c r="E200">
        <v>149</v>
      </c>
      <c r="F200" t="s">
        <v>63</v>
      </c>
      <c r="G200" t="s">
        <v>64</v>
      </c>
      <c r="H200">
        <v>95</v>
      </c>
      <c r="I200" t="str">
        <f>IFERROR(VLOOKUP(C200,Merchants!$A$2:$D$41,2,FALSE),"Merchant not found")</f>
        <v>Merchant_007</v>
      </c>
      <c r="J200" t="str">
        <f>IFERROR(VLOOKUP(C200,Merchants!$A$2:$D$41,3,FALSE),"Merchant not found")</f>
        <v>food_delivery</v>
      </c>
      <c r="K200" t="str">
        <f>IFERROR(VLOOKUP(C200,Merchants!$A$2:$D$41,4,FALSE),"Merchant not found")</f>
        <v>East</v>
      </c>
      <c r="L200" s="2">
        <f>HLOOKUP(F200,Fee_lookup!$A$2:$E$3,2,FALSE)</f>
        <v>5.0000000000000001E-4</v>
      </c>
      <c r="M200" s="6">
        <f t="shared" si="9"/>
        <v>46025</v>
      </c>
      <c r="N200">
        <f t="shared" si="10"/>
        <v>149</v>
      </c>
      <c r="O200" t="str">
        <f t="shared" si="11"/>
        <v>Normal Merchant Day</v>
      </c>
    </row>
    <row r="201" spans="1:15" x14ac:dyDescent="0.3">
      <c r="A201" t="s">
        <v>268</v>
      </c>
      <c r="B201">
        <v>67</v>
      </c>
      <c r="C201">
        <v>36</v>
      </c>
      <c r="D201" s="1">
        <v>46046.493750000001</v>
      </c>
      <c r="E201">
        <v>99</v>
      </c>
      <c r="F201" t="s">
        <v>66</v>
      </c>
      <c r="G201" t="s">
        <v>64</v>
      </c>
      <c r="H201">
        <v>7</v>
      </c>
      <c r="I201" t="str">
        <f>IFERROR(VLOOKUP(C201,Merchants!$A$2:$D$41,2,FALSE),"Merchant not found")</f>
        <v>Merchant_036</v>
      </c>
      <c r="J201" t="str">
        <f>IFERROR(VLOOKUP(C201,Merchants!$A$2:$D$41,3,FALSE),"Merchant not found")</f>
        <v>entertainment</v>
      </c>
      <c r="K201" t="str">
        <f>IFERROR(VLOOKUP(C201,Merchants!$A$2:$D$41,4,FALSE),"Merchant not found")</f>
        <v>East</v>
      </c>
      <c r="L201" s="2">
        <f>HLOOKUP(F201,Fee_lookup!$A$2:$E$3,2,FALSE)</f>
        <v>2.0000000000000001E-4</v>
      </c>
      <c r="M201" s="6">
        <f t="shared" si="9"/>
        <v>46046</v>
      </c>
      <c r="N201">
        <f t="shared" si="10"/>
        <v>1647</v>
      </c>
      <c r="O201" t="str">
        <f t="shared" si="11"/>
        <v>Normal Merchant Day</v>
      </c>
    </row>
    <row r="202" spans="1:15" x14ac:dyDescent="0.3">
      <c r="A202" t="s">
        <v>269</v>
      </c>
      <c r="B202">
        <v>169</v>
      </c>
      <c r="C202">
        <v>8</v>
      </c>
      <c r="D202" s="1">
        <v>46041.732638888891</v>
      </c>
      <c r="E202">
        <v>99</v>
      </c>
      <c r="F202" t="s">
        <v>66</v>
      </c>
      <c r="G202" t="s">
        <v>64</v>
      </c>
      <c r="H202">
        <v>52</v>
      </c>
      <c r="I202" t="str">
        <f>IFERROR(VLOOKUP(C202,Merchants!$A$2:$D$41,2,FALSE),"Merchant not found")</f>
        <v>Merchant_008</v>
      </c>
      <c r="J202" t="str">
        <f>IFERROR(VLOOKUP(C202,Merchants!$A$2:$D$41,3,FALSE),"Merchant not found")</f>
        <v>food_delivery</v>
      </c>
      <c r="K202" t="str">
        <f>IFERROR(VLOOKUP(C202,Merchants!$A$2:$D$41,4,FALSE),"Merchant not found")</f>
        <v>North</v>
      </c>
      <c r="L202" s="2">
        <f>HLOOKUP(F202,Fee_lookup!$A$2:$E$3,2,FALSE)</f>
        <v>2.0000000000000001E-4</v>
      </c>
      <c r="M202" s="6">
        <f t="shared" si="9"/>
        <v>46041</v>
      </c>
      <c r="N202">
        <f t="shared" si="10"/>
        <v>99</v>
      </c>
      <c r="O202" t="str">
        <f t="shared" si="11"/>
        <v>Normal Merchant Day</v>
      </c>
    </row>
    <row r="203" spans="1:15" x14ac:dyDescent="0.3">
      <c r="A203" t="s">
        <v>270</v>
      </c>
      <c r="B203">
        <v>217</v>
      </c>
      <c r="C203">
        <v>4</v>
      </c>
      <c r="D203" s="1">
        <v>46034.908333333333</v>
      </c>
      <c r="E203">
        <v>49</v>
      </c>
      <c r="F203" t="s">
        <v>66</v>
      </c>
      <c r="G203" t="s">
        <v>64</v>
      </c>
      <c r="H203">
        <v>36</v>
      </c>
      <c r="I203" t="str">
        <f>IFERROR(VLOOKUP(C203,Merchants!$A$2:$D$41,2,FALSE),"Merchant not found")</f>
        <v>Merchant_004</v>
      </c>
      <c r="J203" t="str">
        <f>IFERROR(VLOOKUP(C203,Merchants!$A$2:$D$41,3,FALSE),"Merchant not found")</f>
        <v>ecommerce</v>
      </c>
      <c r="K203" t="str">
        <f>IFERROR(VLOOKUP(C203,Merchants!$A$2:$D$41,4,FALSE),"Merchant not found")</f>
        <v>East</v>
      </c>
      <c r="L203" s="2">
        <f>HLOOKUP(F203,Fee_lookup!$A$2:$E$3,2,FALSE)</f>
        <v>2.0000000000000001E-4</v>
      </c>
      <c r="M203" s="6">
        <f t="shared" si="9"/>
        <v>46034</v>
      </c>
      <c r="N203">
        <f t="shared" si="10"/>
        <v>49</v>
      </c>
      <c r="O203" t="str">
        <f t="shared" si="11"/>
        <v>Normal Merchant Day</v>
      </c>
    </row>
    <row r="204" spans="1:15" x14ac:dyDescent="0.3">
      <c r="A204" t="s">
        <v>271</v>
      </c>
      <c r="B204">
        <v>54</v>
      </c>
      <c r="C204">
        <v>37</v>
      </c>
      <c r="D204" s="1">
        <v>46042.390277777777</v>
      </c>
      <c r="E204">
        <v>149</v>
      </c>
      <c r="F204" t="s">
        <v>66</v>
      </c>
      <c r="G204" t="s">
        <v>64</v>
      </c>
      <c r="H204">
        <v>64</v>
      </c>
      <c r="I204" t="str">
        <f>IFERROR(VLOOKUP(C204,Merchants!$A$2:$D$41,2,FALSE),"Merchant not found")</f>
        <v>Merchant_037</v>
      </c>
      <c r="J204" t="str">
        <f>IFERROR(VLOOKUP(C204,Merchants!$A$2:$D$41,3,FALSE),"Merchant not found")</f>
        <v>entertainment</v>
      </c>
      <c r="K204" t="str">
        <f>IFERROR(VLOOKUP(C204,Merchants!$A$2:$D$41,4,FALSE),"Merchant not found")</f>
        <v>South</v>
      </c>
      <c r="L204" s="2">
        <f>HLOOKUP(F204,Fee_lookup!$A$2:$E$3,2,FALSE)</f>
        <v>2.0000000000000001E-4</v>
      </c>
      <c r="M204" s="6">
        <f t="shared" si="9"/>
        <v>46042</v>
      </c>
      <c r="N204">
        <f t="shared" si="10"/>
        <v>149</v>
      </c>
      <c r="O204" t="str">
        <f t="shared" si="11"/>
        <v>Normal Merchant Day</v>
      </c>
    </row>
    <row r="205" spans="1:15" x14ac:dyDescent="0.3">
      <c r="A205" t="s">
        <v>272</v>
      </c>
      <c r="B205">
        <v>247</v>
      </c>
      <c r="C205">
        <v>15</v>
      </c>
      <c r="D205" s="1">
        <v>46029.195833333331</v>
      </c>
      <c r="E205">
        <v>49</v>
      </c>
      <c r="F205" t="s">
        <v>78</v>
      </c>
      <c r="G205" t="s">
        <v>64</v>
      </c>
      <c r="H205">
        <v>13</v>
      </c>
      <c r="I205" t="str">
        <f>IFERROR(VLOOKUP(C205,Merchants!$A$2:$D$41,2,FALSE),"Merchant not found")</f>
        <v>Merchant_015</v>
      </c>
      <c r="J205" t="str">
        <f>IFERROR(VLOOKUP(C205,Merchants!$A$2:$D$41,3,FALSE),"Merchant not found")</f>
        <v>travel</v>
      </c>
      <c r="K205" t="str">
        <f>IFERROR(VLOOKUP(C205,Merchants!$A$2:$D$41,4,FALSE),"Merchant not found")</f>
        <v>North</v>
      </c>
      <c r="L205" s="2">
        <f>HLOOKUP(F205,Fee_lookup!$A$2:$E$3,2,FALSE)</f>
        <v>1.4999999999999999E-2</v>
      </c>
      <c r="M205" s="6">
        <f t="shared" si="9"/>
        <v>46029</v>
      </c>
      <c r="N205">
        <f t="shared" si="10"/>
        <v>49</v>
      </c>
      <c r="O205" t="str">
        <f t="shared" si="11"/>
        <v>Normal Merchant Day</v>
      </c>
    </row>
    <row r="206" spans="1:15" x14ac:dyDescent="0.3">
      <c r="A206" t="s">
        <v>273</v>
      </c>
      <c r="B206">
        <v>59</v>
      </c>
      <c r="C206">
        <v>18</v>
      </c>
      <c r="D206" s="1">
        <v>46034.724305555559</v>
      </c>
      <c r="E206">
        <v>49</v>
      </c>
      <c r="F206" t="s">
        <v>78</v>
      </c>
      <c r="G206" t="s">
        <v>64</v>
      </c>
      <c r="H206">
        <v>73</v>
      </c>
      <c r="I206" t="str">
        <f>IFERROR(VLOOKUP(C206,Merchants!$A$2:$D$41,2,FALSE),"Merchant not found")</f>
        <v>Merchant_018</v>
      </c>
      <c r="J206" t="str">
        <f>IFERROR(VLOOKUP(C206,Merchants!$A$2:$D$41,3,FALSE),"Merchant not found")</f>
        <v>grocery</v>
      </c>
      <c r="K206" t="str">
        <f>IFERROR(VLOOKUP(C206,Merchants!$A$2:$D$41,4,FALSE),"Merchant not found")</f>
        <v>West</v>
      </c>
      <c r="L206" s="2">
        <f>HLOOKUP(F206,Fee_lookup!$A$2:$E$3,2,FALSE)</f>
        <v>1.4999999999999999E-2</v>
      </c>
      <c r="M206" s="6">
        <f t="shared" si="9"/>
        <v>46034</v>
      </c>
      <c r="N206">
        <f t="shared" si="10"/>
        <v>49</v>
      </c>
      <c r="O206" t="str">
        <f t="shared" si="11"/>
        <v>Normal Merchant Day</v>
      </c>
    </row>
    <row r="207" spans="1:15" x14ac:dyDescent="0.3">
      <c r="A207" t="s">
        <v>274</v>
      </c>
      <c r="B207">
        <v>288</v>
      </c>
      <c r="C207">
        <v>40</v>
      </c>
      <c r="D207" s="1">
        <v>46030.57916666667</v>
      </c>
      <c r="E207">
        <v>49</v>
      </c>
      <c r="F207" t="s">
        <v>66</v>
      </c>
      <c r="G207" t="s">
        <v>79</v>
      </c>
      <c r="H207">
        <v>78</v>
      </c>
      <c r="I207" t="str">
        <f>IFERROR(VLOOKUP(C207,Merchants!$A$2:$D$41,2,FALSE),"Merchant not found")</f>
        <v>Merchant_040</v>
      </c>
      <c r="J207" t="str">
        <f>IFERROR(VLOOKUP(C207,Merchants!$A$2:$D$41,3,FALSE),"Merchant not found")</f>
        <v>entertainment</v>
      </c>
      <c r="K207" t="str">
        <f>IFERROR(VLOOKUP(C207,Merchants!$A$2:$D$41,4,FALSE),"Merchant not found")</f>
        <v>South</v>
      </c>
      <c r="L207" s="2">
        <f>HLOOKUP(F207,Fee_lookup!$A$2:$E$3,2,FALSE)</f>
        <v>2.0000000000000001E-4</v>
      </c>
      <c r="M207" s="6">
        <f t="shared" si="9"/>
        <v>46030</v>
      </c>
      <c r="N207">
        <f t="shared" si="10"/>
        <v>49</v>
      </c>
      <c r="O207" t="str">
        <f t="shared" si="11"/>
        <v>Normal Merchant Day</v>
      </c>
    </row>
    <row r="208" spans="1:15" x14ac:dyDescent="0.3">
      <c r="A208" t="s">
        <v>275</v>
      </c>
      <c r="B208">
        <v>14</v>
      </c>
      <c r="C208">
        <v>39</v>
      </c>
      <c r="D208" s="1">
        <v>46044.857638888891</v>
      </c>
      <c r="E208">
        <v>799</v>
      </c>
      <c r="F208" t="s">
        <v>66</v>
      </c>
      <c r="G208" t="s">
        <v>64</v>
      </c>
      <c r="H208">
        <v>84</v>
      </c>
      <c r="I208" t="str">
        <f>IFERROR(VLOOKUP(C208,Merchants!$A$2:$D$41,2,FALSE),"Merchant not found")</f>
        <v>Merchant_039</v>
      </c>
      <c r="J208" t="str">
        <f>IFERROR(VLOOKUP(C208,Merchants!$A$2:$D$41,3,FALSE),"Merchant not found")</f>
        <v>entertainment</v>
      </c>
      <c r="K208" t="str">
        <f>IFERROR(VLOOKUP(C208,Merchants!$A$2:$D$41,4,FALSE),"Merchant not found")</f>
        <v>North</v>
      </c>
      <c r="L208" s="2">
        <f>HLOOKUP(F208,Fee_lookup!$A$2:$E$3,2,FALSE)</f>
        <v>2.0000000000000001E-4</v>
      </c>
      <c r="M208" s="6">
        <f t="shared" si="9"/>
        <v>46044</v>
      </c>
      <c r="N208">
        <f t="shared" si="10"/>
        <v>9796</v>
      </c>
      <c r="O208" t="str">
        <f t="shared" si="11"/>
        <v>High-Value Merchant Day</v>
      </c>
    </row>
    <row r="209" spans="1:15" x14ac:dyDescent="0.3">
      <c r="A209" t="s">
        <v>276</v>
      </c>
      <c r="B209">
        <v>15</v>
      </c>
      <c r="C209">
        <v>12</v>
      </c>
      <c r="D209" s="1">
        <v>46049.928472222222</v>
      </c>
      <c r="E209">
        <v>149</v>
      </c>
      <c r="F209" t="s">
        <v>66</v>
      </c>
      <c r="G209" t="s">
        <v>64</v>
      </c>
      <c r="H209">
        <v>34</v>
      </c>
      <c r="I209" t="str">
        <f>IFERROR(VLOOKUP(C209,Merchants!$A$2:$D$41,2,FALSE),"Merchant not found")</f>
        <v>Merchant_012</v>
      </c>
      <c r="J209" t="str">
        <f>IFERROR(VLOOKUP(C209,Merchants!$A$2:$D$41,3,FALSE),"Merchant not found")</f>
        <v>ecommerce</v>
      </c>
      <c r="K209" t="str">
        <f>IFERROR(VLOOKUP(C209,Merchants!$A$2:$D$41,4,FALSE),"Merchant not found")</f>
        <v>East</v>
      </c>
      <c r="L209" s="2">
        <f>HLOOKUP(F209,Fee_lookup!$A$2:$E$3,2,FALSE)</f>
        <v>2.0000000000000001E-4</v>
      </c>
      <c r="M209" s="6">
        <f t="shared" si="9"/>
        <v>46049</v>
      </c>
      <c r="N209">
        <f t="shared" si="10"/>
        <v>149</v>
      </c>
      <c r="O209" t="str">
        <f t="shared" si="11"/>
        <v>Normal Merchant Day</v>
      </c>
    </row>
    <row r="210" spans="1:15" x14ac:dyDescent="0.3">
      <c r="A210" t="s">
        <v>277</v>
      </c>
      <c r="B210">
        <v>174</v>
      </c>
      <c r="C210">
        <v>23</v>
      </c>
      <c r="D210" s="1">
        <v>46045.415277777778</v>
      </c>
      <c r="E210">
        <v>149</v>
      </c>
      <c r="F210" t="s">
        <v>66</v>
      </c>
      <c r="G210" t="s">
        <v>64</v>
      </c>
      <c r="H210">
        <v>0</v>
      </c>
      <c r="I210" t="str">
        <f>IFERROR(VLOOKUP(C210,Merchants!$A$2:$D$41,2,FALSE),"Merchant not found")</f>
        <v>Merchant_023</v>
      </c>
      <c r="J210" t="str">
        <f>IFERROR(VLOOKUP(C210,Merchants!$A$2:$D$41,3,FALSE),"Merchant not found")</f>
        <v>travel</v>
      </c>
      <c r="K210" t="str">
        <f>IFERROR(VLOOKUP(C210,Merchants!$A$2:$D$41,4,FALSE),"Merchant not found")</f>
        <v>North</v>
      </c>
      <c r="L210" s="2">
        <f>HLOOKUP(F210,Fee_lookup!$A$2:$E$3,2,FALSE)</f>
        <v>2.0000000000000001E-4</v>
      </c>
      <c r="M210" s="6">
        <f t="shared" si="9"/>
        <v>46045</v>
      </c>
      <c r="N210">
        <f t="shared" si="10"/>
        <v>247</v>
      </c>
      <c r="O210" t="str">
        <f t="shared" si="11"/>
        <v>Normal Merchant Day</v>
      </c>
    </row>
    <row r="211" spans="1:15" x14ac:dyDescent="0.3">
      <c r="A211" t="s">
        <v>278</v>
      </c>
      <c r="B211">
        <v>337</v>
      </c>
      <c r="C211">
        <v>26</v>
      </c>
      <c r="D211" s="1">
        <v>46028.191666666666</v>
      </c>
      <c r="E211">
        <v>49</v>
      </c>
      <c r="F211" t="s">
        <v>66</v>
      </c>
      <c r="G211" t="s">
        <v>64</v>
      </c>
      <c r="H211">
        <v>8</v>
      </c>
      <c r="I211" t="str">
        <f>IFERROR(VLOOKUP(C211,Merchants!$A$2:$D$41,2,FALSE),"Merchant not found")</f>
        <v>Merchant_026</v>
      </c>
      <c r="J211" t="str">
        <f>IFERROR(VLOOKUP(C211,Merchants!$A$2:$D$41,3,FALSE),"Merchant not found")</f>
        <v>food_delivery</v>
      </c>
      <c r="K211" t="str">
        <f>IFERROR(VLOOKUP(C211,Merchants!$A$2:$D$41,4,FALSE),"Merchant not found")</f>
        <v>East</v>
      </c>
      <c r="L211" s="2">
        <f>HLOOKUP(F211,Fee_lookup!$A$2:$E$3,2,FALSE)</f>
        <v>2.0000000000000001E-4</v>
      </c>
      <c r="M211" s="6">
        <f t="shared" si="9"/>
        <v>46028</v>
      </c>
      <c r="N211">
        <f t="shared" si="10"/>
        <v>49</v>
      </c>
      <c r="O211" t="str">
        <f t="shared" si="11"/>
        <v>Normal Merchant Day</v>
      </c>
    </row>
    <row r="212" spans="1:15" x14ac:dyDescent="0.3">
      <c r="A212" t="s">
        <v>279</v>
      </c>
      <c r="B212">
        <v>16</v>
      </c>
      <c r="C212">
        <v>6</v>
      </c>
      <c r="D212" s="1">
        <v>46027.986111111109</v>
      </c>
      <c r="E212">
        <v>1499</v>
      </c>
      <c r="F212" t="s">
        <v>66</v>
      </c>
      <c r="G212" t="s">
        <v>64</v>
      </c>
      <c r="H212">
        <v>95</v>
      </c>
      <c r="I212" t="str">
        <f>IFERROR(VLOOKUP(C212,Merchants!$A$2:$D$41,2,FALSE),"Merchant not found")</f>
        <v>Merchant_006</v>
      </c>
      <c r="J212" t="str">
        <f>IFERROR(VLOOKUP(C212,Merchants!$A$2:$D$41,3,FALSE),"Merchant not found")</f>
        <v>food_delivery</v>
      </c>
      <c r="K212" t="str">
        <f>IFERROR(VLOOKUP(C212,Merchants!$A$2:$D$41,4,FALSE),"Merchant not found")</f>
        <v>South</v>
      </c>
      <c r="L212" s="2">
        <f>HLOOKUP(F212,Fee_lookup!$A$2:$E$3,2,FALSE)</f>
        <v>2.0000000000000001E-4</v>
      </c>
      <c r="M212" s="6">
        <f t="shared" si="9"/>
        <v>46027</v>
      </c>
      <c r="N212">
        <f t="shared" si="10"/>
        <v>1499</v>
      </c>
      <c r="O212" t="str">
        <f t="shared" si="11"/>
        <v>Normal Merchant Day</v>
      </c>
    </row>
    <row r="213" spans="1:15" x14ac:dyDescent="0.3">
      <c r="A213" t="s">
        <v>280</v>
      </c>
      <c r="B213">
        <v>215</v>
      </c>
      <c r="C213">
        <v>30</v>
      </c>
      <c r="D213" s="1">
        <v>46039.26666666667</v>
      </c>
      <c r="E213">
        <v>49</v>
      </c>
      <c r="F213" t="s">
        <v>66</v>
      </c>
      <c r="G213" t="s">
        <v>64</v>
      </c>
      <c r="H213">
        <v>43</v>
      </c>
      <c r="I213" t="str">
        <f>IFERROR(VLOOKUP(C213,Merchants!$A$2:$D$41,2,FALSE),"Merchant not found")</f>
        <v>Merchant_030</v>
      </c>
      <c r="J213" t="str">
        <f>IFERROR(VLOOKUP(C213,Merchants!$A$2:$D$41,3,FALSE),"Merchant not found")</f>
        <v>travel</v>
      </c>
      <c r="K213" t="str">
        <f>IFERROR(VLOOKUP(C213,Merchants!$A$2:$D$41,4,FALSE),"Merchant not found")</f>
        <v>West</v>
      </c>
      <c r="L213" s="2">
        <f>HLOOKUP(F213,Fee_lookup!$A$2:$E$3,2,FALSE)</f>
        <v>2.0000000000000001E-4</v>
      </c>
      <c r="M213" s="6">
        <f t="shared" si="9"/>
        <v>46039</v>
      </c>
      <c r="N213">
        <f t="shared" si="10"/>
        <v>49</v>
      </c>
      <c r="O213" t="str">
        <f t="shared" si="11"/>
        <v>Normal Merchant Day</v>
      </c>
    </row>
    <row r="214" spans="1:15" x14ac:dyDescent="0.3">
      <c r="A214" t="s">
        <v>281</v>
      </c>
      <c r="B214">
        <v>167</v>
      </c>
      <c r="C214">
        <v>37</v>
      </c>
      <c r="D214" s="1">
        <v>46028.47152777778</v>
      </c>
      <c r="E214">
        <v>99</v>
      </c>
      <c r="F214" t="s">
        <v>66</v>
      </c>
      <c r="G214" t="s">
        <v>64</v>
      </c>
      <c r="H214">
        <v>76</v>
      </c>
      <c r="I214" t="str">
        <f>IFERROR(VLOOKUP(C214,Merchants!$A$2:$D$41,2,FALSE),"Merchant not found")</f>
        <v>Merchant_037</v>
      </c>
      <c r="J214" t="str">
        <f>IFERROR(VLOOKUP(C214,Merchants!$A$2:$D$41,3,FALSE),"Merchant not found")</f>
        <v>entertainment</v>
      </c>
      <c r="K214" t="str">
        <f>IFERROR(VLOOKUP(C214,Merchants!$A$2:$D$41,4,FALSE),"Merchant not found")</f>
        <v>South</v>
      </c>
      <c r="L214" s="2">
        <f>HLOOKUP(F214,Fee_lookup!$A$2:$E$3,2,FALSE)</f>
        <v>2.0000000000000001E-4</v>
      </c>
      <c r="M214" s="6">
        <f t="shared" si="9"/>
        <v>46028</v>
      </c>
      <c r="N214">
        <f t="shared" si="10"/>
        <v>99</v>
      </c>
      <c r="O214" t="str">
        <f t="shared" si="11"/>
        <v>Normal Merchant Day</v>
      </c>
    </row>
    <row r="215" spans="1:15" x14ac:dyDescent="0.3">
      <c r="A215" t="s">
        <v>282</v>
      </c>
      <c r="B215">
        <v>81</v>
      </c>
      <c r="C215">
        <v>40</v>
      </c>
      <c r="D215" s="1">
        <v>46025.04791666667</v>
      </c>
      <c r="E215">
        <v>49</v>
      </c>
      <c r="F215" t="s">
        <v>66</v>
      </c>
      <c r="G215" t="s">
        <v>64</v>
      </c>
      <c r="H215">
        <v>6</v>
      </c>
      <c r="I215" t="str">
        <f>IFERROR(VLOOKUP(C215,Merchants!$A$2:$D$41,2,FALSE),"Merchant not found")</f>
        <v>Merchant_040</v>
      </c>
      <c r="J215" t="str">
        <f>IFERROR(VLOOKUP(C215,Merchants!$A$2:$D$41,3,FALSE),"Merchant not found")</f>
        <v>entertainment</v>
      </c>
      <c r="K215" t="str">
        <f>IFERROR(VLOOKUP(C215,Merchants!$A$2:$D$41,4,FALSE),"Merchant not found")</f>
        <v>South</v>
      </c>
      <c r="L215" s="2">
        <f>HLOOKUP(F215,Fee_lookup!$A$2:$E$3,2,FALSE)</f>
        <v>2.0000000000000001E-4</v>
      </c>
      <c r="M215" s="6">
        <f t="shared" si="9"/>
        <v>46025</v>
      </c>
      <c r="N215">
        <f t="shared" si="10"/>
        <v>49</v>
      </c>
      <c r="O215" t="str">
        <f t="shared" si="11"/>
        <v>Normal Merchant Day</v>
      </c>
    </row>
    <row r="216" spans="1:15" x14ac:dyDescent="0.3">
      <c r="A216" t="s">
        <v>283</v>
      </c>
      <c r="B216">
        <v>227</v>
      </c>
      <c r="C216">
        <v>28</v>
      </c>
      <c r="D216" s="1">
        <v>46044.095138888886</v>
      </c>
      <c r="E216">
        <v>99</v>
      </c>
      <c r="F216" t="s">
        <v>66</v>
      </c>
      <c r="G216" t="s">
        <v>64</v>
      </c>
      <c r="H216">
        <v>62</v>
      </c>
      <c r="I216" t="str">
        <f>IFERROR(VLOOKUP(C216,Merchants!$A$2:$D$41,2,FALSE),"Merchant not found")</f>
        <v>Merchant_028</v>
      </c>
      <c r="J216" t="str">
        <f>IFERROR(VLOOKUP(C216,Merchants!$A$2:$D$41,3,FALSE),"Merchant not found")</f>
        <v>ecommerce</v>
      </c>
      <c r="K216" t="str">
        <f>IFERROR(VLOOKUP(C216,Merchants!$A$2:$D$41,4,FALSE),"Merchant not found")</f>
        <v>South</v>
      </c>
      <c r="L216" s="2">
        <f>HLOOKUP(F216,Fee_lookup!$A$2:$E$3,2,FALSE)</f>
        <v>2.0000000000000001E-4</v>
      </c>
      <c r="M216" s="6">
        <f t="shared" si="9"/>
        <v>46044</v>
      </c>
      <c r="N216">
        <f t="shared" si="10"/>
        <v>99</v>
      </c>
      <c r="O216" t="str">
        <f t="shared" si="11"/>
        <v>Normal Merchant Day</v>
      </c>
    </row>
    <row r="217" spans="1:15" x14ac:dyDescent="0.3">
      <c r="A217" t="s">
        <v>284</v>
      </c>
      <c r="B217">
        <v>140</v>
      </c>
      <c r="C217">
        <v>14</v>
      </c>
      <c r="D217" s="1">
        <v>46042.601388888892</v>
      </c>
      <c r="E217">
        <v>299</v>
      </c>
      <c r="F217" t="s">
        <v>63</v>
      </c>
      <c r="G217" t="s">
        <v>64</v>
      </c>
      <c r="H217">
        <v>96</v>
      </c>
      <c r="I217" t="str">
        <f>IFERROR(VLOOKUP(C217,Merchants!$A$2:$D$41,2,FALSE),"Merchant not found")</f>
        <v>Merchant_014</v>
      </c>
      <c r="J217" t="str">
        <f>IFERROR(VLOOKUP(C217,Merchants!$A$2:$D$41,3,FALSE),"Merchant not found")</f>
        <v>grocery</v>
      </c>
      <c r="K217" t="str">
        <f>IFERROR(VLOOKUP(C217,Merchants!$A$2:$D$41,4,FALSE),"Merchant not found")</f>
        <v>East</v>
      </c>
      <c r="L217" s="2">
        <f>HLOOKUP(F217,Fee_lookup!$A$2:$E$3,2,FALSE)</f>
        <v>5.0000000000000001E-4</v>
      </c>
      <c r="M217" s="6">
        <f t="shared" si="9"/>
        <v>46042</v>
      </c>
      <c r="N217">
        <f t="shared" si="10"/>
        <v>299</v>
      </c>
      <c r="O217" t="str">
        <f t="shared" si="11"/>
        <v>Normal Merchant Day</v>
      </c>
    </row>
    <row r="218" spans="1:15" x14ac:dyDescent="0.3">
      <c r="A218" t="s">
        <v>285</v>
      </c>
      <c r="B218">
        <v>221</v>
      </c>
      <c r="C218">
        <v>8</v>
      </c>
      <c r="D218" s="1">
        <v>46039.140277777777</v>
      </c>
      <c r="E218">
        <v>299</v>
      </c>
      <c r="F218" t="s">
        <v>66</v>
      </c>
      <c r="G218" t="s">
        <v>64</v>
      </c>
      <c r="H218">
        <v>36</v>
      </c>
      <c r="I218" t="str">
        <f>IFERROR(VLOOKUP(C218,Merchants!$A$2:$D$41,2,FALSE),"Merchant not found")</f>
        <v>Merchant_008</v>
      </c>
      <c r="J218" t="str">
        <f>IFERROR(VLOOKUP(C218,Merchants!$A$2:$D$41,3,FALSE),"Merchant not found")</f>
        <v>food_delivery</v>
      </c>
      <c r="K218" t="str">
        <f>IFERROR(VLOOKUP(C218,Merchants!$A$2:$D$41,4,FALSE),"Merchant not found")</f>
        <v>North</v>
      </c>
      <c r="L218" s="2">
        <f>HLOOKUP(F218,Fee_lookup!$A$2:$E$3,2,FALSE)</f>
        <v>2.0000000000000001E-4</v>
      </c>
      <c r="M218" s="6">
        <f t="shared" si="9"/>
        <v>46039</v>
      </c>
      <c r="N218">
        <f t="shared" si="10"/>
        <v>348</v>
      </c>
      <c r="O218" t="str">
        <f t="shared" si="11"/>
        <v>Normal Merchant Day</v>
      </c>
    </row>
    <row r="219" spans="1:15" x14ac:dyDescent="0.3">
      <c r="A219" t="s">
        <v>286</v>
      </c>
      <c r="B219">
        <v>250</v>
      </c>
      <c r="C219">
        <v>34</v>
      </c>
      <c r="D219" s="1">
        <v>46044.900694444441</v>
      </c>
      <c r="E219">
        <v>299</v>
      </c>
      <c r="F219" t="s">
        <v>63</v>
      </c>
      <c r="G219" t="s">
        <v>64</v>
      </c>
      <c r="H219">
        <v>85</v>
      </c>
      <c r="I219" t="str">
        <f>IFERROR(VLOOKUP(C219,Merchants!$A$2:$D$41,2,FALSE),"Merchant not found")</f>
        <v>Merchant_034</v>
      </c>
      <c r="J219" t="str">
        <f>IFERROR(VLOOKUP(C219,Merchants!$A$2:$D$41,3,FALSE),"Merchant not found")</f>
        <v>travel</v>
      </c>
      <c r="K219" t="str">
        <f>IFERROR(VLOOKUP(C219,Merchants!$A$2:$D$41,4,FALSE),"Merchant not found")</f>
        <v>South</v>
      </c>
      <c r="L219" s="2">
        <f>HLOOKUP(F219,Fee_lookup!$A$2:$E$3,2,FALSE)</f>
        <v>5.0000000000000001E-4</v>
      </c>
      <c r="M219" s="6">
        <f t="shared" si="9"/>
        <v>46044</v>
      </c>
      <c r="N219">
        <f t="shared" si="10"/>
        <v>299</v>
      </c>
      <c r="O219" t="str">
        <f t="shared" si="11"/>
        <v>Normal Merchant Day</v>
      </c>
    </row>
    <row r="220" spans="1:15" x14ac:dyDescent="0.3">
      <c r="A220" t="s">
        <v>287</v>
      </c>
      <c r="B220">
        <v>203</v>
      </c>
      <c r="C220">
        <v>39</v>
      </c>
      <c r="D220" s="1">
        <v>46032.051388888889</v>
      </c>
      <c r="E220">
        <v>49</v>
      </c>
      <c r="F220" t="s">
        <v>66</v>
      </c>
      <c r="G220" t="s">
        <v>64</v>
      </c>
      <c r="H220">
        <v>7</v>
      </c>
      <c r="I220" t="str">
        <f>IFERROR(VLOOKUP(C220,Merchants!$A$2:$D$41,2,FALSE),"Merchant not found")</f>
        <v>Merchant_039</v>
      </c>
      <c r="J220" t="str">
        <f>IFERROR(VLOOKUP(C220,Merchants!$A$2:$D$41,3,FALSE),"Merchant not found")</f>
        <v>entertainment</v>
      </c>
      <c r="K220" t="str">
        <f>IFERROR(VLOOKUP(C220,Merchants!$A$2:$D$41,4,FALSE),"Merchant not found")</f>
        <v>North</v>
      </c>
      <c r="L220" s="2">
        <f>HLOOKUP(F220,Fee_lookup!$A$2:$E$3,2,FALSE)</f>
        <v>2.0000000000000001E-4</v>
      </c>
      <c r="M220" s="6">
        <f t="shared" si="9"/>
        <v>46032</v>
      </c>
      <c r="N220">
        <f t="shared" si="10"/>
        <v>49</v>
      </c>
      <c r="O220" t="str">
        <f t="shared" si="11"/>
        <v>Normal Merchant Day</v>
      </c>
    </row>
    <row r="221" spans="1:15" x14ac:dyDescent="0.3">
      <c r="A221" t="s">
        <v>288</v>
      </c>
      <c r="B221">
        <v>109</v>
      </c>
      <c r="C221">
        <v>9</v>
      </c>
      <c r="D221" s="1">
        <v>46023.263194444444</v>
      </c>
      <c r="E221">
        <v>499</v>
      </c>
      <c r="F221" t="s">
        <v>63</v>
      </c>
      <c r="G221" t="s">
        <v>64</v>
      </c>
      <c r="H221">
        <v>97</v>
      </c>
      <c r="I221" t="str">
        <f>IFERROR(VLOOKUP(C221,Merchants!$A$2:$D$41,2,FALSE),"Merchant not found")</f>
        <v>Merchant_009</v>
      </c>
      <c r="J221" t="str">
        <f>IFERROR(VLOOKUP(C221,Merchants!$A$2:$D$41,3,FALSE),"Merchant not found")</f>
        <v>ecommerce</v>
      </c>
      <c r="K221" t="str">
        <f>IFERROR(VLOOKUP(C221,Merchants!$A$2:$D$41,4,FALSE),"Merchant not found")</f>
        <v>North</v>
      </c>
      <c r="L221" s="2">
        <f>HLOOKUP(F221,Fee_lookup!$A$2:$E$3,2,FALSE)</f>
        <v>5.0000000000000001E-4</v>
      </c>
      <c r="M221" s="6">
        <f t="shared" si="9"/>
        <v>46023</v>
      </c>
      <c r="N221">
        <f t="shared" si="10"/>
        <v>499</v>
      </c>
      <c r="O221" t="str">
        <f t="shared" si="11"/>
        <v>Normal Merchant Day</v>
      </c>
    </row>
    <row r="222" spans="1:15" x14ac:dyDescent="0.3">
      <c r="A222" t="s">
        <v>289</v>
      </c>
      <c r="B222">
        <v>62</v>
      </c>
      <c r="C222">
        <v>1</v>
      </c>
      <c r="D222" s="1">
        <v>46031.388888888891</v>
      </c>
      <c r="E222">
        <v>4999</v>
      </c>
      <c r="F222" t="s">
        <v>63</v>
      </c>
      <c r="G222" t="s">
        <v>64</v>
      </c>
      <c r="H222">
        <v>63</v>
      </c>
      <c r="I222" t="str">
        <f>IFERROR(VLOOKUP(C222,Merchants!$A$2:$D$41,2,FALSE),"Merchant not found")</f>
        <v>Merchant_001</v>
      </c>
      <c r="J222" t="str">
        <f>IFERROR(VLOOKUP(C222,Merchants!$A$2:$D$41,3,FALSE),"Merchant not found")</f>
        <v>ecommerce</v>
      </c>
      <c r="K222" t="str">
        <f>IFERROR(VLOOKUP(C222,Merchants!$A$2:$D$41,4,FALSE),"Merchant not found")</f>
        <v>South</v>
      </c>
      <c r="L222" s="2">
        <f>HLOOKUP(F222,Fee_lookup!$A$2:$E$3,2,FALSE)</f>
        <v>5.0000000000000001E-4</v>
      </c>
      <c r="M222" s="6">
        <f t="shared" si="9"/>
        <v>46031</v>
      </c>
      <c r="N222">
        <f t="shared" si="10"/>
        <v>5048</v>
      </c>
      <c r="O222" t="str">
        <f t="shared" si="11"/>
        <v>High-Value Merchant Day</v>
      </c>
    </row>
    <row r="223" spans="1:15" x14ac:dyDescent="0.3">
      <c r="A223" t="s">
        <v>290</v>
      </c>
      <c r="B223">
        <v>67</v>
      </c>
      <c r="C223">
        <v>25</v>
      </c>
      <c r="D223" s="1">
        <v>46046.549305555556</v>
      </c>
      <c r="E223">
        <v>49</v>
      </c>
      <c r="F223" t="s">
        <v>66</v>
      </c>
      <c r="G223" t="s">
        <v>64</v>
      </c>
      <c r="H223">
        <v>68</v>
      </c>
      <c r="I223" t="str">
        <f>IFERROR(VLOOKUP(C223,Merchants!$A$2:$D$41,2,FALSE),"Merchant not found")</f>
        <v>Merchant_025</v>
      </c>
      <c r="J223" t="str">
        <f>IFERROR(VLOOKUP(C223,Merchants!$A$2:$D$41,3,FALSE),"Merchant not found")</f>
        <v>travel</v>
      </c>
      <c r="K223" t="str">
        <f>IFERROR(VLOOKUP(C223,Merchants!$A$2:$D$41,4,FALSE),"Merchant not found")</f>
        <v>South</v>
      </c>
      <c r="L223" s="2">
        <f>HLOOKUP(F223,Fee_lookup!$A$2:$E$3,2,FALSE)</f>
        <v>2.0000000000000001E-4</v>
      </c>
      <c r="M223" s="6">
        <f t="shared" si="9"/>
        <v>46046</v>
      </c>
      <c r="N223">
        <f t="shared" si="10"/>
        <v>497</v>
      </c>
      <c r="O223" t="str">
        <f t="shared" si="11"/>
        <v>Normal Merchant Day</v>
      </c>
    </row>
    <row r="224" spans="1:15" x14ac:dyDescent="0.3">
      <c r="A224" t="s">
        <v>291</v>
      </c>
      <c r="B224">
        <v>287</v>
      </c>
      <c r="C224">
        <v>23</v>
      </c>
      <c r="D224" s="1">
        <v>46045.313888888886</v>
      </c>
      <c r="E224">
        <v>49</v>
      </c>
      <c r="F224" t="s">
        <v>66</v>
      </c>
      <c r="G224" t="s">
        <v>64</v>
      </c>
      <c r="H224">
        <v>9</v>
      </c>
      <c r="I224" t="str">
        <f>IFERROR(VLOOKUP(C224,Merchants!$A$2:$D$41,2,FALSE),"Merchant not found")</f>
        <v>Merchant_023</v>
      </c>
      <c r="J224" t="str">
        <f>IFERROR(VLOOKUP(C224,Merchants!$A$2:$D$41,3,FALSE),"Merchant not found")</f>
        <v>travel</v>
      </c>
      <c r="K224" t="str">
        <f>IFERROR(VLOOKUP(C224,Merchants!$A$2:$D$41,4,FALSE),"Merchant not found")</f>
        <v>North</v>
      </c>
      <c r="L224" s="2">
        <f>HLOOKUP(F224,Fee_lookup!$A$2:$E$3,2,FALSE)</f>
        <v>2.0000000000000001E-4</v>
      </c>
      <c r="M224" s="6">
        <f t="shared" si="9"/>
        <v>46045</v>
      </c>
      <c r="N224">
        <f t="shared" si="10"/>
        <v>247</v>
      </c>
      <c r="O224" t="str">
        <f t="shared" si="11"/>
        <v>Normal Merchant Day</v>
      </c>
    </row>
    <row r="225" spans="1:15" x14ac:dyDescent="0.3">
      <c r="A225" t="s">
        <v>292</v>
      </c>
      <c r="B225">
        <v>224</v>
      </c>
      <c r="C225">
        <v>2</v>
      </c>
      <c r="D225" s="1">
        <v>46035.959722222222</v>
      </c>
      <c r="E225">
        <v>49</v>
      </c>
      <c r="F225" t="s">
        <v>78</v>
      </c>
      <c r="G225" t="s">
        <v>64</v>
      </c>
      <c r="H225">
        <v>58</v>
      </c>
      <c r="I225" t="str">
        <f>IFERROR(VLOOKUP(C225,Merchants!$A$2:$D$41,2,FALSE),"Merchant not found")</f>
        <v>Merchant_002</v>
      </c>
      <c r="J225" t="str">
        <f>IFERROR(VLOOKUP(C225,Merchants!$A$2:$D$41,3,FALSE),"Merchant not found")</f>
        <v>grocery</v>
      </c>
      <c r="K225" t="str">
        <f>IFERROR(VLOOKUP(C225,Merchants!$A$2:$D$41,4,FALSE),"Merchant not found")</f>
        <v>West</v>
      </c>
      <c r="L225" s="2">
        <f>HLOOKUP(F225,Fee_lookup!$A$2:$E$3,2,FALSE)</f>
        <v>1.4999999999999999E-2</v>
      </c>
      <c r="M225" s="6">
        <f t="shared" si="9"/>
        <v>46035</v>
      </c>
      <c r="N225">
        <f t="shared" si="10"/>
        <v>49</v>
      </c>
      <c r="O225" t="str">
        <f t="shared" si="11"/>
        <v>Normal Merchant Day</v>
      </c>
    </row>
    <row r="226" spans="1:15" x14ac:dyDescent="0.3">
      <c r="A226" t="s">
        <v>293</v>
      </c>
      <c r="B226">
        <v>161</v>
      </c>
      <c r="C226">
        <v>37</v>
      </c>
      <c r="D226" s="1">
        <v>46052.121527777781</v>
      </c>
      <c r="E226">
        <v>299</v>
      </c>
      <c r="F226" t="s">
        <v>66</v>
      </c>
      <c r="G226" t="s">
        <v>64</v>
      </c>
      <c r="H226">
        <v>54</v>
      </c>
      <c r="I226" t="str">
        <f>IFERROR(VLOOKUP(C226,Merchants!$A$2:$D$41,2,FALSE),"Merchant not found")</f>
        <v>Merchant_037</v>
      </c>
      <c r="J226" t="str">
        <f>IFERROR(VLOOKUP(C226,Merchants!$A$2:$D$41,3,FALSE),"Merchant not found")</f>
        <v>entertainment</v>
      </c>
      <c r="K226" t="str">
        <f>IFERROR(VLOOKUP(C226,Merchants!$A$2:$D$41,4,FALSE),"Merchant not found")</f>
        <v>South</v>
      </c>
      <c r="L226" s="2">
        <f>HLOOKUP(F226,Fee_lookup!$A$2:$E$3,2,FALSE)</f>
        <v>2.0000000000000001E-4</v>
      </c>
      <c r="M226" s="6">
        <f t="shared" si="9"/>
        <v>46052</v>
      </c>
      <c r="N226">
        <f t="shared" si="10"/>
        <v>299</v>
      </c>
      <c r="O226" t="str">
        <f t="shared" si="11"/>
        <v>Normal Merchant Day</v>
      </c>
    </row>
    <row r="227" spans="1:15" x14ac:dyDescent="0.3">
      <c r="A227" t="s">
        <v>294</v>
      </c>
      <c r="B227">
        <v>328</v>
      </c>
      <c r="C227">
        <v>27</v>
      </c>
      <c r="D227" s="1">
        <v>46041.53125</v>
      </c>
      <c r="E227">
        <v>49</v>
      </c>
      <c r="F227" t="s">
        <v>66</v>
      </c>
      <c r="G227" t="s">
        <v>92</v>
      </c>
      <c r="H227">
        <v>37</v>
      </c>
      <c r="I227" t="str">
        <f>IFERROR(VLOOKUP(C227,Merchants!$A$2:$D$41,2,FALSE),"Merchant not found")</f>
        <v>Merchant_027</v>
      </c>
      <c r="J227" t="str">
        <f>IFERROR(VLOOKUP(C227,Merchants!$A$2:$D$41,3,FALSE),"Merchant not found")</f>
        <v>ecommerce</v>
      </c>
      <c r="K227" t="str">
        <f>IFERROR(VLOOKUP(C227,Merchants!$A$2:$D$41,4,FALSE),"Merchant not found")</f>
        <v>North</v>
      </c>
      <c r="L227" s="2">
        <f>HLOOKUP(F227,Fee_lookup!$A$2:$E$3,2,FALSE)</f>
        <v>2.0000000000000001E-4</v>
      </c>
      <c r="M227" s="6">
        <f t="shared" si="9"/>
        <v>46041</v>
      </c>
      <c r="N227">
        <f t="shared" si="10"/>
        <v>49</v>
      </c>
      <c r="O227" t="str">
        <f t="shared" si="11"/>
        <v>Normal Merchant Day</v>
      </c>
    </row>
    <row r="228" spans="1:15" x14ac:dyDescent="0.3">
      <c r="A228" t="s">
        <v>295</v>
      </c>
      <c r="B228">
        <v>167</v>
      </c>
      <c r="C228">
        <v>11</v>
      </c>
      <c r="D228" s="1">
        <v>46026.500694444447</v>
      </c>
      <c r="E228">
        <v>1499</v>
      </c>
      <c r="F228" t="s">
        <v>78</v>
      </c>
      <c r="G228" t="s">
        <v>79</v>
      </c>
      <c r="H228">
        <v>79</v>
      </c>
      <c r="I228" t="str">
        <f>IFERROR(VLOOKUP(C228,Merchants!$A$2:$D$41,2,FALSE),"Merchant not found")</f>
        <v>Merchant_011</v>
      </c>
      <c r="J228" t="str">
        <f>IFERROR(VLOOKUP(C228,Merchants!$A$2:$D$41,3,FALSE),"Merchant not found")</f>
        <v>ecommerce</v>
      </c>
      <c r="K228" t="str">
        <f>IFERROR(VLOOKUP(C228,Merchants!$A$2:$D$41,4,FALSE),"Merchant not found")</f>
        <v>North</v>
      </c>
      <c r="L228" s="2">
        <f>HLOOKUP(F228,Fee_lookup!$A$2:$E$3,2,FALSE)</f>
        <v>1.4999999999999999E-2</v>
      </c>
      <c r="M228" s="6">
        <f t="shared" si="9"/>
        <v>46026</v>
      </c>
      <c r="N228">
        <f t="shared" si="10"/>
        <v>1499</v>
      </c>
      <c r="O228" t="str">
        <f t="shared" si="11"/>
        <v>Normal Merchant Day</v>
      </c>
    </row>
    <row r="229" spans="1:15" x14ac:dyDescent="0.3">
      <c r="A229" t="s">
        <v>296</v>
      </c>
      <c r="B229">
        <v>186</v>
      </c>
      <c r="C229">
        <v>6</v>
      </c>
      <c r="D229" s="1">
        <v>46037.956944444442</v>
      </c>
      <c r="E229">
        <v>49</v>
      </c>
      <c r="F229" t="s">
        <v>63</v>
      </c>
      <c r="G229" t="s">
        <v>64</v>
      </c>
      <c r="H229">
        <v>55</v>
      </c>
      <c r="I229" t="str">
        <f>IFERROR(VLOOKUP(C229,Merchants!$A$2:$D$41,2,FALSE),"Merchant not found")</f>
        <v>Merchant_006</v>
      </c>
      <c r="J229" t="str">
        <f>IFERROR(VLOOKUP(C229,Merchants!$A$2:$D$41,3,FALSE),"Merchant not found")</f>
        <v>food_delivery</v>
      </c>
      <c r="K229" t="str">
        <f>IFERROR(VLOOKUP(C229,Merchants!$A$2:$D$41,4,FALSE),"Merchant not found")</f>
        <v>South</v>
      </c>
      <c r="L229" s="2">
        <f>HLOOKUP(F229,Fee_lookup!$A$2:$E$3,2,FALSE)</f>
        <v>5.0000000000000001E-4</v>
      </c>
      <c r="M229" s="6">
        <f t="shared" si="9"/>
        <v>46037</v>
      </c>
      <c r="N229">
        <f t="shared" si="10"/>
        <v>49</v>
      </c>
      <c r="O229" t="str">
        <f t="shared" si="11"/>
        <v>Normal Merchant Day</v>
      </c>
    </row>
    <row r="230" spans="1:15" x14ac:dyDescent="0.3">
      <c r="A230" t="s">
        <v>297</v>
      </c>
      <c r="B230">
        <v>224</v>
      </c>
      <c r="C230">
        <v>38</v>
      </c>
      <c r="D230" s="1">
        <v>46050.135416666664</v>
      </c>
      <c r="E230">
        <v>299</v>
      </c>
      <c r="F230" t="s">
        <v>63</v>
      </c>
      <c r="G230" t="s">
        <v>79</v>
      </c>
      <c r="H230">
        <v>51</v>
      </c>
      <c r="I230" t="str">
        <f>IFERROR(VLOOKUP(C230,Merchants!$A$2:$D$41,2,FALSE),"Merchant not found")</f>
        <v>Merchant_038</v>
      </c>
      <c r="J230" t="str">
        <f>IFERROR(VLOOKUP(C230,Merchants!$A$2:$D$41,3,FALSE),"Merchant not found")</f>
        <v>grocery</v>
      </c>
      <c r="K230" t="str">
        <f>IFERROR(VLOOKUP(C230,Merchants!$A$2:$D$41,4,FALSE),"Merchant not found")</f>
        <v>East</v>
      </c>
      <c r="L230" s="2">
        <f>HLOOKUP(F230,Fee_lookup!$A$2:$E$3,2,FALSE)</f>
        <v>5.0000000000000001E-4</v>
      </c>
      <c r="M230" s="6">
        <f t="shared" si="9"/>
        <v>46050</v>
      </c>
      <c r="N230">
        <f t="shared" si="10"/>
        <v>299</v>
      </c>
      <c r="O230" t="str">
        <f t="shared" si="11"/>
        <v>Normal Merchant Day</v>
      </c>
    </row>
    <row r="231" spans="1:15" x14ac:dyDescent="0.3">
      <c r="A231" t="s">
        <v>298</v>
      </c>
      <c r="B231">
        <v>159</v>
      </c>
      <c r="C231">
        <v>22</v>
      </c>
      <c r="D231" s="1">
        <v>46039.100694444445</v>
      </c>
      <c r="E231">
        <v>799</v>
      </c>
      <c r="F231" t="s">
        <v>66</v>
      </c>
      <c r="G231" t="s">
        <v>64</v>
      </c>
      <c r="H231">
        <v>28</v>
      </c>
      <c r="I231" t="str">
        <f>IFERROR(VLOOKUP(C231,Merchants!$A$2:$D$41,2,FALSE),"Merchant not found")</f>
        <v>Merchant_022</v>
      </c>
      <c r="J231" t="str">
        <f>IFERROR(VLOOKUP(C231,Merchants!$A$2:$D$41,3,FALSE),"Merchant not found")</f>
        <v>travel</v>
      </c>
      <c r="K231" t="str">
        <f>IFERROR(VLOOKUP(C231,Merchants!$A$2:$D$41,4,FALSE),"Merchant not found")</f>
        <v>South</v>
      </c>
      <c r="L231" s="2">
        <f>HLOOKUP(F231,Fee_lookup!$A$2:$E$3,2,FALSE)</f>
        <v>2.0000000000000001E-4</v>
      </c>
      <c r="M231" s="6">
        <f t="shared" si="9"/>
        <v>46039</v>
      </c>
      <c r="N231">
        <f t="shared" si="10"/>
        <v>1598</v>
      </c>
      <c r="O231" t="str">
        <f t="shared" si="11"/>
        <v>Normal Merchant Day</v>
      </c>
    </row>
    <row r="232" spans="1:15" x14ac:dyDescent="0.3">
      <c r="A232" t="s">
        <v>299</v>
      </c>
      <c r="B232">
        <v>262</v>
      </c>
      <c r="C232">
        <v>8</v>
      </c>
      <c r="D232" s="1">
        <v>46033.211111111108</v>
      </c>
      <c r="E232">
        <v>149</v>
      </c>
      <c r="F232" t="s">
        <v>66</v>
      </c>
      <c r="G232" t="s">
        <v>64</v>
      </c>
      <c r="H232">
        <v>67</v>
      </c>
      <c r="I232" t="str">
        <f>IFERROR(VLOOKUP(C232,Merchants!$A$2:$D$41,2,FALSE),"Merchant not found")</f>
        <v>Merchant_008</v>
      </c>
      <c r="J232" t="str">
        <f>IFERROR(VLOOKUP(C232,Merchants!$A$2:$D$41,3,FALSE),"Merchant not found")</f>
        <v>food_delivery</v>
      </c>
      <c r="K232" t="str">
        <f>IFERROR(VLOOKUP(C232,Merchants!$A$2:$D$41,4,FALSE),"Merchant not found")</f>
        <v>North</v>
      </c>
      <c r="L232" s="2">
        <f>HLOOKUP(F232,Fee_lookup!$A$2:$E$3,2,FALSE)</f>
        <v>2.0000000000000001E-4</v>
      </c>
      <c r="M232" s="6">
        <f t="shared" si="9"/>
        <v>46033</v>
      </c>
      <c r="N232">
        <f t="shared" si="10"/>
        <v>149</v>
      </c>
      <c r="O232" t="str">
        <f t="shared" si="11"/>
        <v>Normal Merchant Day</v>
      </c>
    </row>
    <row r="233" spans="1:15" x14ac:dyDescent="0.3">
      <c r="A233" t="s">
        <v>300</v>
      </c>
      <c r="B233">
        <v>179</v>
      </c>
      <c r="C233">
        <v>23</v>
      </c>
      <c r="D233" s="1">
        <v>46039.289583333331</v>
      </c>
      <c r="E233">
        <v>49</v>
      </c>
      <c r="F233" t="s">
        <v>63</v>
      </c>
      <c r="G233" t="s">
        <v>64</v>
      </c>
      <c r="H233">
        <v>93</v>
      </c>
      <c r="I233" t="str">
        <f>IFERROR(VLOOKUP(C233,Merchants!$A$2:$D$41,2,FALSE),"Merchant not found")</f>
        <v>Merchant_023</v>
      </c>
      <c r="J233" t="str">
        <f>IFERROR(VLOOKUP(C233,Merchants!$A$2:$D$41,3,FALSE),"Merchant not found")</f>
        <v>travel</v>
      </c>
      <c r="K233" t="str">
        <f>IFERROR(VLOOKUP(C233,Merchants!$A$2:$D$41,4,FALSE),"Merchant not found")</f>
        <v>North</v>
      </c>
      <c r="L233" s="2">
        <f>HLOOKUP(F233,Fee_lookup!$A$2:$E$3,2,FALSE)</f>
        <v>5.0000000000000001E-4</v>
      </c>
      <c r="M233" s="6">
        <f t="shared" si="9"/>
        <v>46039</v>
      </c>
      <c r="N233">
        <f t="shared" si="10"/>
        <v>49</v>
      </c>
      <c r="O233" t="str">
        <f t="shared" si="11"/>
        <v>Normal Merchant Day</v>
      </c>
    </row>
    <row r="234" spans="1:15" x14ac:dyDescent="0.3">
      <c r="A234" t="s">
        <v>301</v>
      </c>
      <c r="B234">
        <v>76</v>
      </c>
      <c r="C234">
        <v>16</v>
      </c>
      <c r="D234" s="1">
        <v>46049.869444444441</v>
      </c>
      <c r="E234">
        <v>299</v>
      </c>
      <c r="F234" t="s">
        <v>66</v>
      </c>
      <c r="G234" t="s">
        <v>64</v>
      </c>
      <c r="H234">
        <v>13</v>
      </c>
      <c r="I234" t="str">
        <f>IFERROR(VLOOKUP(C234,Merchants!$A$2:$D$41,2,FALSE),"Merchant not found")</f>
        <v>Merchant_016</v>
      </c>
      <c r="J234" t="str">
        <f>IFERROR(VLOOKUP(C234,Merchants!$A$2:$D$41,3,FALSE),"Merchant not found")</f>
        <v>bill_payment</v>
      </c>
      <c r="K234" t="str">
        <f>IFERROR(VLOOKUP(C234,Merchants!$A$2:$D$41,4,FALSE),"Merchant not found")</f>
        <v>West</v>
      </c>
      <c r="L234" s="2">
        <f>HLOOKUP(F234,Fee_lookup!$A$2:$E$3,2,FALSE)</f>
        <v>2.0000000000000001E-4</v>
      </c>
      <c r="M234" s="6">
        <f t="shared" si="9"/>
        <v>46049</v>
      </c>
      <c r="N234">
        <f t="shared" si="10"/>
        <v>348</v>
      </c>
      <c r="O234" t="str">
        <f t="shared" si="11"/>
        <v>Normal Merchant Day</v>
      </c>
    </row>
    <row r="235" spans="1:15" x14ac:dyDescent="0.3">
      <c r="A235" t="s">
        <v>302</v>
      </c>
      <c r="B235">
        <v>89</v>
      </c>
      <c r="C235">
        <v>39</v>
      </c>
      <c r="D235" s="1">
        <v>46027.341666666667</v>
      </c>
      <c r="E235">
        <v>299</v>
      </c>
      <c r="F235" t="s">
        <v>66</v>
      </c>
      <c r="G235" t="s">
        <v>64</v>
      </c>
      <c r="H235">
        <v>19</v>
      </c>
      <c r="I235" t="str">
        <f>IFERROR(VLOOKUP(C235,Merchants!$A$2:$D$41,2,FALSE),"Merchant not found")</f>
        <v>Merchant_039</v>
      </c>
      <c r="J235" t="str">
        <f>IFERROR(VLOOKUP(C235,Merchants!$A$2:$D$41,3,FALSE),"Merchant not found")</f>
        <v>entertainment</v>
      </c>
      <c r="K235" t="str">
        <f>IFERROR(VLOOKUP(C235,Merchants!$A$2:$D$41,4,FALSE),"Merchant not found")</f>
        <v>North</v>
      </c>
      <c r="L235" s="2">
        <f>HLOOKUP(F235,Fee_lookup!$A$2:$E$3,2,FALSE)</f>
        <v>2.0000000000000001E-4</v>
      </c>
      <c r="M235" s="6">
        <f t="shared" si="9"/>
        <v>46027</v>
      </c>
      <c r="N235">
        <f t="shared" si="10"/>
        <v>299</v>
      </c>
      <c r="O235" t="str">
        <f t="shared" si="11"/>
        <v>Normal Merchant Day</v>
      </c>
    </row>
    <row r="236" spans="1:15" x14ac:dyDescent="0.3">
      <c r="A236" t="s">
        <v>303</v>
      </c>
      <c r="B236">
        <v>91</v>
      </c>
      <c r="C236">
        <v>32</v>
      </c>
      <c r="D236" s="1">
        <v>46047.836111111108</v>
      </c>
      <c r="E236">
        <v>49</v>
      </c>
      <c r="F236" t="s">
        <v>66</v>
      </c>
      <c r="G236" t="s">
        <v>64</v>
      </c>
      <c r="H236">
        <v>59</v>
      </c>
      <c r="I236" t="str">
        <f>IFERROR(VLOOKUP(C236,Merchants!$A$2:$D$41,2,FALSE),"Merchant not found")</f>
        <v>Merchant_032</v>
      </c>
      <c r="J236" t="str">
        <f>IFERROR(VLOOKUP(C236,Merchants!$A$2:$D$41,3,FALSE),"Merchant not found")</f>
        <v>food_delivery</v>
      </c>
      <c r="K236" t="str">
        <f>IFERROR(VLOOKUP(C236,Merchants!$A$2:$D$41,4,FALSE),"Merchant not found")</f>
        <v>West</v>
      </c>
      <c r="L236" s="2">
        <f>HLOOKUP(F236,Fee_lookup!$A$2:$E$3,2,FALSE)</f>
        <v>2.0000000000000001E-4</v>
      </c>
      <c r="M236" s="6">
        <f t="shared" si="9"/>
        <v>46047</v>
      </c>
      <c r="N236">
        <f t="shared" si="10"/>
        <v>49</v>
      </c>
      <c r="O236" t="str">
        <f t="shared" si="11"/>
        <v>Normal Merchant Day</v>
      </c>
    </row>
    <row r="237" spans="1:15" x14ac:dyDescent="0.3">
      <c r="A237" t="s">
        <v>304</v>
      </c>
      <c r="B237">
        <v>297</v>
      </c>
      <c r="C237">
        <v>29</v>
      </c>
      <c r="D237" s="1">
        <v>46047.783333333333</v>
      </c>
      <c r="E237">
        <v>99</v>
      </c>
      <c r="F237" t="s">
        <v>78</v>
      </c>
      <c r="G237" t="s">
        <v>92</v>
      </c>
      <c r="H237">
        <v>87</v>
      </c>
      <c r="I237" t="str">
        <f>IFERROR(VLOOKUP(C237,Merchants!$A$2:$D$41,2,FALSE),"Merchant not found")</f>
        <v>Merchant_029</v>
      </c>
      <c r="J237" t="str">
        <f>IFERROR(VLOOKUP(C237,Merchants!$A$2:$D$41,3,FALSE),"Merchant not found")</f>
        <v>ecommerce</v>
      </c>
      <c r="K237" t="str">
        <f>IFERROR(VLOOKUP(C237,Merchants!$A$2:$D$41,4,FALSE),"Merchant not found")</f>
        <v>North</v>
      </c>
      <c r="L237" s="2">
        <f>HLOOKUP(F237,Fee_lookup!$A$2:$E$3,2,FALSE)</f>
        <v>1.4999999999999999E-2</v>
      </c>
      <c r="M237" s="6">
        <f t="shared" si="9"/>
        <v>46047</v>
      </c>
      <c r="N237">
        <f t="shared" si="10"/>
        <v>3896</v>
      </c>
      <c r="O237" t="str">
        <f t="shared" si="11"/>
        <v>Normal Merchant Day</v>
      </c>
    </row>
    <row r="238" spans="1:15" x14ac:dyDescent="0.3">
      <c r="A238" t="s">
        <v>305</v>
      </c>
      <c r="B238">
        <v>326</v>
      </c>
      <c r="C238">
        <v>40</v>
      </c>
      <c r="D238" s="1">
        <v>46052.77847222222</v>
      </c>
      <c r="E238">
        <v>499</v>
      </c>
      <c r="F238" t="s">
        <v>78</v>
      </c>
      <c r="G238" t="s">
        <v>64</v>
      </c>
      <c r="H238">
        <v>41</v>
      </c>
      <c r="I238" t="str">
        <f>IFERROR(VLOOKUP(C238,Merchants!$A$2:$D$41,2,FALSE),"Merchant not found")</f>
        <v>Merchant_040</v>
      </c>
      <c r="J238" t="str">
        <f>IFERROR(VLOOKUP(C238,Merchants!$A$2:$D$41,3,FALSE),"Merchant not found")</f>
        <v>entertainment</v>
      </c>
      <c r="K238" t="str">
        <f>IFERROR(VLOOKUP(C238,Merchants!$A$2:$D$41,4,FALSE),"Merchant not found")</f>
        <v>South</v>
      </c>
      <c r="L238" s="2">
        <f>HLOOKUP(F238,Fee_lookup!$A$2:$E$3,2,FALSE)</f>
        <v>1.4999999999999999E-2</v>
      </c>
      <c r="M238" s="6">
        <f t="shared" si="9"/>
        <v>46052</v>
      </c>
      <c r="N238">
        <f t="shared" si="10"/>
        <v>499</v>
      </c>
      <c r="O238" t="str">
        <f t="shared" si="11"/>
        <v>Normal Merchant Day</v>
      </c>
    </row>
    <row r="239" spans="1:15" x14ac:dyDescent="0.3">
      <c r="A239" t="s">
        <v>306</v>
      </c>
      <c r="B239">
        <v>78</v>
      </c>
      <c r="C239">
        <v>29</v>
      </c>
      <c r="D239" s="1">
        <v>46050.847222222219</v>
      </c>
      <c r="E239">
        <v>149</v>
      </c>
      <c r="F239" t="s">
        <v>66</v>
      </c>
      <c r="G239" t="s">
        <v>64</v>
      </c>
      <c r="H239">
        <v>8</v>
      </c>
      <c r="I239" t="str">
        <f>IFERROR(VLOOKUP(C239,Merchants!$A$2:$D$41,2,FALSE),"Merchant not found")</f>
        <v>Merchant_029</v>
      </c>
      <c r="J239" t="str">
        <f>IFERROR(VLOOKUP(C239,Merchants!$A$2:$D$41,3,FALSE),"Merchant not found")</f>
        <v>ecommerce</v>
      </c>
      <c r="K239" t="str">
        <f>IFERROR(VLOOKUP(C239,Merchants!$A$2:$D$41,4,FALSE),"Merchant not found")</f>
        <v>North</v>
      </c>
      <c r="L239" s="2">
        <f>HLOOKUP(F239,Fee_lookup!$A$2:$E$3,2,FALSE)</f>
        <v>2.0000000000000001E-4</v>
      </c>
      <c r="M239" s="6">
        <f t="shared" si="9"/>
        <v>46050</v>
      </c>
      <c r="N239">
        <f t="shared" si="10"/>
        <v>149</v>
      </c>
      <c r="O239" t="str">
        <f t="shared" si="11"/>
        <v>Normal Merchant Day</v>
      </c>
    </row>
    <row r="240" spans="1:15" x14ac:dyDescent="0.3">
      <c r="A240" t="s">
        <v>307</v>
      </c>
      <c r="B240">
        <v>156</v>
      </c>
      <c r="C240">
        <v>18</v>
      </c>
      <c r="D240" s="1">
        <v>46038.611111111109</v>
      </c>
      <c r="E240">
        <v>2999</v>
      </c>
      <c r="F240" t="s">
        <v>78</v>
      </c>
      <c r="G240" t="s">
        <v>64</v>
      </c>
      <c r="H240">
        <v>75</v>
      </c>
      <c r="I240" t="str">
        <f>IFERROR(VLOOKUP(C240,Merchants!$A$2:$D$41,2,FALSE),"Merchant not found")</f>
        <v>Merchant_018</v>
      </c>
      <c r="J240" t="str">
        <f>IFERROR(VLOOKUP(C240,Merchants!$A$2:$D$41,3,FALSE),"Merchant not found")</f>
        <v>grocery</v>
      </c>
      <c r="K240" t="str">
        <f>IFERROR(VLOOKUP(C240,Merchants!$A$2:$D$41,4,FALSE),"Merchant not found")</f>
        <v>West</v>
      </c>
      <c r="L240" s="2">
        <f>HLOOKUP(F240,Fee_lookup!$A$2:$E$3,2,FALSE)</f>
        <v>1.4999999999999999E-2</v>
      </c>
      <c r="M240" s="6">
        <f t="shared" si="9"/>
        <v>46038</v>
      </c>
      <c r="N240">
        <f t="shared" si="10"/>
        <v>3148</v>
      </c>
      <c r="O240" t="str">
        <f t="shared" si="11"/>
        <v>Normal Merchant Day</v>
      </c>
    </row>
    <row r="241" spans="1:15" x14ac:dyDescent="0.3">
      <c r="A241" t="s">
        <v>308</v>
      </c>
      <c r="B241">
        <v>38</v>
      </c>
      <c r="C241">
        <v>20</v>
      </c>
      <c r="D241" s="1">
        <v>46024.480555555558</v>
      </c>
      <c r="E241">
        <v>49</v>
      </c>
      <c r="F241" t="s">
        <v>63</v>
      </c>
      <c r="G241" t="s">
        <v>79</v>
      </c>
      <c r="H241">
        <v>59</v>
      </c>
      <c r="I241" t="str">
        <f>IFERROR(VLOOKUP(C241,Merchants!$A$2:$D$41,2,FALSE),"Merchant not found")</f>
        <v>Merchant_020</v>
      </c>
      <c r="J241" t="str">
        <f>IFERROR(VLOOKUP(C241,Merchants!$A$2:$D$41,3,FALSE),"Merchant not found")</f>
        <v>food_delivery</v>
      </c>
      <c r="K241" t="str">
        <f>IFERROR(VLOOKUP(C241,Merchants!$A$2:$D$41,4,FALSE),"Merchant not found")</f>
        <v>East</v>
      </c>
      <c r="L241" s="2">
        <f>HLOOKUP(F241,Fee_lookup!$A$2:$E$3,2,FALSE)</f>
        <v>5.0000000000000001E-4</v>
      </c>
      <c r="M241" s="6">
        <f t="shared" si="9"/>
        <v>46024</v>
      </c>
      <c r="N241">
        <f t="shared" si="10"/>
        <v>49</v>
      </c>
      <c r="O241" t="str">
        <f t="shared" si="11"/>
        <v>Normal Merchant Day</v>
      </c>
    </row>
    <row r="242" spans="1:15" x14ac:dyDescent="0.3">
      <c r="A242" t="s">
        <v>309</v>
      </c>
      <c r="B242">
        <v>189</v>
      </c>
      <c r="C242">
        <v>19</v>
      </c>
      <c r="D242" s="1">
        <v>46037.043749999997</v>
      </c>
      <c r="E242">
        <v>99</v>
      </c>
      <c r="F242" t="s">
        <v>66</v>
      </c>
      <c r="G242" t="s">
        <v>79</v>
      </c>
      <c r="H242">
        <v>9</v>
      </c>
      <c r="I242" t="str">
        <f>IFERROR(VLOOKUP(C242,Merchants!$A$2:$D$41,2,FALSE),"Merchant not found")</f>
        <v>Merchant_019</v>
      </c>
      <c r="J242" t="str">
        <f>IFERROR(VLOOKUP(C242,Merchants!$A$2:$D$41,3,FALSE),"Merchant not found")</f>
        <v>grocery</v>
      </c>
      <c r="K242" t="str">
        <f>IFERROR(VLOOKUP(C242,Merchants!$A$2:$D$41,4,FALSE),"Merchant not found")</f>
        <v>North</v>
      </c>
      <c r="L242" s="2">
        <f>HLOOKUP(F242,Fee_lookup!$A$2:$E$3,2,FALSE)</f>
        <v>2.0000000000000001E-4</v>
      </c>
      <c r="M242" s="6">
        <f t="shared" si="9"/>
        <v>46037</v>
      </c>
      <c r="N242">
        <f t="shared" si="10"/>
        <v>398</v>
      </c>
      <c r="O242" t="str">
        <f t="shared" si="11"/>
        <v>Normal Merchant Day</v>
      </c>
    </row>
    <row r="243" spans="1:15" x14ac:dyDescent="0.3">
      <c r="A243" t="s">
        <v>310</v>
      </c>
      <c r="B243">
        <v>305</v>
      </c>
      <c r="C243">
        <v>33</v>
      </c>
      <c r="D243" s="1">
        <v>46043.11041666667</v>
      </c>
      <c r="E243">
        <v>299</v>
      </c>
      <c r="F243" t="s">
        <v>78</v>
      </c>
      <c r="G243" t="s">
        <v>64</v>
      </c>
      <c r="H243">
        <v>49</v>
      </c>
      <c r="I243" t="str">
        <f>IFERROR(VLOOKUP(C243,Merchants!$A$2:$D$41,2,FALSE),"Merchant not found")</f>
        <v>Merchant_033</v>
      </c>
      <c r="J243" t="str">
        <f>IFERROR(VLOOKUP(C243,Merchants!$A$2:$D$41,3,FALSE),"Merchant not found")</f>
        <v>bill_payment</v>
      </c>
      <c r="K243" t="str">
        <f>IFERROR(VLOOKUP(C243,Merchants!$A$2:$D$41,4,FALSE),"Merchant not found")</f>
        <v>East</v>
      </c>
      <c r="L243" s="2">
        <f>HLOOKUP(F243,Fee_lookup!$A$2:$E$3,2,FALSE)</f>
        <v>1.4999999999999999E-2</v>
      </c>
      <c r="M243" s="6">
        <f t="shared" si="9"/>
        <v>46043</v>
      </c>
      <c r="N243">
        <f t="shared" si="10"/>
        <v>3298</v>
      </c>
      <c r="O243" t="str">
        <f t="shared" si="11"/>
        <v>Normal Merchant Day</v>
      </c>
    </row>
    <row r="244" spans="1:15" x14ac:dyDescent="0.3">
      <c r="A244" t="s">
        <v>311</v>
      </c>
      <c r="B244">
        <v>22</v>
      </c>
      <c r="C244">
        <v>29</v>
      </c>
      <c r="D244" s="1">
        <v>46037.774305555555</v>
      </c>
      <c r="E244">
        <v>799</v>
      </c>
      <c r="F244" t="s">
        <v>66</v>
      </c>
      <c r="G244" t="s">
        <v>64</v>
      </c>
      <c r="H244">
        <v>73</v>
      </c>
      <c r="I244" t="str">
        <f>IFERROR(VLOOKUP(C244,Merchants!$A$2:$D$41,2,FALSE),"Merchant not found")</f>
        <v>Merchant_029</v>
      </c>
      <c r="J244" t="str">
        <f>IFERROR(VLOOKUP(C244,Merchants!$A$2:$D$41,3,FALSE),"Merchant not found")</f>
        <v>ecommerce</v>
      </c>
      <c r="K244" t="str">
        <f>IFERROR(VLOOKUP(C244,Merchants!$A$2:$D$41,4,FALSE),"Merchant not found")</f>
        <v>North</v>
      </c>
      <c r="L244" s="2">
        <f>HLOOKUP(F244,Fee_lookup!$A$2:$E$3,2,FALSE)</f>
        <v>2.0000000000000001E-4</v>
      </c>
      <c r="M244" s="6">
        <f t="shared" si="9"/>
        <v>46037</v>
      </c>
      <c r="N244">
        <f t="shared" si="10"/>
        <v>1098</v>
      </c>
      <c r="O244" t="str">
        <f t="shared" si="11"/>
        <v>Normal Merchant Day</v>
      </c>
    </row>
    <row r="245" spans="1:15" x14ac:dyDescent="0.3">
      <c r="A245" t="s">
        <v>312</v>
      </c>
      <c r="B245">
        <v>310</v>
      </c>
      <c r="C245">
        <v>31</v>
      </c>
      <c r="D245" s="1">
        <v>46043.263888888891</v>
      </c>
      <c r="E245">
        <v>49</v>
      </c>
      <c r="F245" t="s">
        <v>78</v>
      </c>
      <c r="G245" t="s">
        <v>64</v>
      </c>
      <c r="H245">
        <v>64</v>
      </c>
      <c r="I245" t="str">
        <f>IFERROR(VLOOKUP(C245,Merchants!$A$2:$D$41,2,FALSE),"Merchant not found")</f>
        <v>Merchant_031</v>
      </c>
      <c r="J245" t="str">
        <f>IFERROR(VLOOKUP(C245,Merchants!$A$2:$D$41,3,FALSE),"Merchant not found")</f>
        <v>bill_payment</v>
      </c>
      <c r="K245" t="str">
        <f>IFERROR(VLOOKUP(C245,Merchants!$A$2:$D$41,4,FALSE),"Merchant not found")</f>
        <v>East</v>
      </c>
      <c r="L245" s="2">
        <f>HLOOKUP(F245,Fee_lookup!$A$2:$E$3,2,FALSE)</f>
        <v>1.4999999999999999E-2</v>
      </c>
      <c r="M245" s="6">
        <f t="shared" si="9"/>
        <v>46043</v>
      </c>
      <c r="N245">
        <f t="shared" si="10"/>
        <v>49</v>
      </c>
      <c r="O245" t="str">
        <f t="shared" si="11"/>
        <v>Normal Merchant Day</v>
      </c>
    </row>
    <row r="246" spans="1:15" x14ac:dyDescent="0.3">
      <c r="A246" t="s">
        <v>313</v>
      </c>
      <c r="B246">
        <v>53</v>
      </c>
      <c r="C246">
        <v>22</v>
      </c>
      <c r="D246" s="1">
        <v>46027.061111111114</v>
      </c>
      <c r="E246">
        <v>299</v>
      </c>
      <c r="F246" t="s">
        <v>66</v>
      </c>
      <c r="G246" t="s">
        <v>64</v>
      </c>
      <c r="H246">
        <v>91</v>
      </c>
      <c r="I246" t="str">
        <f>IFERROR(VLOOKUP(C246,Merchants!$A$2:$D$41,2,FALSE),"Merchant not found")</f>
        <v>Merchant_022</v>
      </c>
      <c r="J246" t="str">
        <f>IFERROR(VLOOKUP(C246,Merchants!$A$2:$D$41,3,FALSE),"Merchant not found")</f>
        <v>travel</v>
      </c>
      <c r="K246" t="str">
        <f>IFERROR(VLOOKUP(C246,Merchants!$A$2:$D$41,4,FALSE),"Merchant not found")</f>
        <v>South</v>
      </c>
      <c r="L246" s="2">
        <f>HLOOKUP(F246,Fee_lookup!$A$2:$E$3,2,FALSE)</f>
        <v>2.0000000000000001E-4</v>
      </c>
      <c r="M246" s="6">
        <f t="shared" si="9"/>
        <v>46027</v>
      </c>
      <c r="N246">
        <f t="shared" si="10"/>
        <v>448</v>
      </c>
      <c r="O246" t="str">
        <f t="shared" si="11"/>
        <v>Normal Merchant Day</v>
      </c>
    </row>
    <row r="247" spans="1:15" x14ac:dyDescent="0.3">
      <c r="A247" t="s">
        <v>314</v>
      </c>
      <c r="B247">
        <v>89</v>
      </c>
      <c r="C247">
        <v>3</v>
      </c>
      <c r="D247" s="1">
        <v>46025.695138888892</v>
      </c>
      <c r="E247">
        <v>149</v>
      </c>
      <c r="F247" t="s">
        <v>78</v>
      </c>
      <c r="G247" t="s">
        <v>64</v>
      </c>
      <c r="H247">
        <v>31</v>
      </c>
      <c r="I247" t="str">
        <f>IFERROR(VLOOKUP(C247,Merchants!$A$2:$D$41,2,FALSE),"Merchant not found")</f>
        <v>Merchant_003</v>
      </c>
      <c r="J247" t="str">
        <f>IFERROR(VLOOKUP(C247,Merchants!$A$2:$D$41,3,FALSE),"Merchant not found")</f>
        <v>grocery</v>
      </c>
      <c r="K247" t="str">
        <f>IFERROR(VLOOKUP(C247,Merchants!$A$2:$D$41,4,FALSE),"Merchant not found")</f>
        <v>East</v>
      </c>
      <c r="L247" s="2">
        <f>HLOOKUP(F247,Fee_lookup!$A$2:$E$3,2,FALSE)</f>
        <v>1.4999999999999999E-2</v>
      </c>
      <c r="M247" s="6">
        <f t="shared" si="9"/>
        <v>46025</v>
      </c>
      <c r="N247">
        <f t="shared" si="10"/>
        <v>198</v>
      </c>
      <c r="O247" t="str">
        <f t="shared" si="11"/>
        <v>Normal Merchant Day</v>
      </c>
    </row>
    <row r="248" spans="1:15" x14ac:dyDescent="0.3">
      <c r="A248" t="s">
        <v>315</v>
      </c>
      <c r="B248">
        <v>269</v>
      </c>
      <c r="C248">
        <v>34</v>
      </c>
      <c r="D248" s="1">
        <v>46045.602777777778</v>
      </c>
      <c r="E248">
        <v>149</v>
      </c>
      <c r="F248" t="s">
        <v>66</v>
      </c>
      <c r="G248" t="s">
        <v>64</v>
      </c>
      <c r="H248">
        <v>78</v>
      </c>
      <c r="I248" t="str">
        <f>IFERROR(VLOOKUP(C248,Merchants!$A$2:$D$41,2,FALSE),"Merchant not found")</f>
        <v>Merchant_034</v>
      </c>
      <c r="J248" t="str">
        <f>IFERROR(VLOOKUP(C248,Merchants!$A$2:$D$41,3,FALSE),"Merchant not found")</f>
        <v>travel</v>
      </c>
      <c r="K248" t="str">
        <f>IFERROR(VLOOKUP(C248,Merchants!$A$2:$D$41,4,FALSE),"Merchant not found")</f>
        <v>South</v>
      </c>
      <c r="L248" s="2">
        <f>HLOOKUP(F248,Fee_lookup!$A$2:$E$3,2,FALSE)</f>
        <v>2.0000000000000001E-4</v>
      </c>
      <c r="M248" s="6">
        <f t="shared" si="9"/>
        <v>46045</v>
      </c>
      <c r="N248">
        <f t="shared" si="10"/>
        <v>3148</v>
      </c>
      <c r="O248" t="str">
        <f t="shared" si="11"/>
        <v>Normal Merchant Day</v>
      </c>
    </row>
    <row r="249" spans="1:15" x14ac:dyDescent="0.3">
      <c r="A249" t="s">
        <v>316</v>
      </c>
      <c r="B249">
        <v>145</v>
      </c>
      <c r="C249">
        <v>25</v>
      </c>
      <c r="D249" s="1">
        <v>46028.474305555559</v>
      </c>
      <c r="E249">
        <v>799</v>
      </c>
      <c r="F249" t="s">
        <v>66</v>
      </c>
      <c r="G249" t="s">
        <v>64</v>
      </c>
      <c r="H249">
        <v>52</v>
      </c>
      <c r="I249" t="str">
        <f>IFERROR(VLOOKUP(C249,Merchants!$A$2:$D$41,2,FALSE),"Merchant not found")</f>
        <v>Merchant_025</v>
      </c>
      <c r="J249" t="str">
        <f>IFERROR(VLOOKUP(C249,Merchants!$A$2:$D$41,3,FALSE),"Merchant not found")</f>
        <v>travel</v>
      </c>
      <c r="K249" t="str">
        <f>IFERROR(VLOOKUP(C249,Merchants!$A$2:$D$41,4,FALSE),"Merchant not found")</f>
        <v>South</v>
      </c>
      <c r="L249" s="2">
        <f>HLOOKUP(F249,Fee_lookup!$A$2:$E$3,2,FALSE)</f>
        <v>2.0000000000000001E-4</v>
      </c>
      <c r="M249" s="6">
        <f t="shared" si="9"/>
        <v>46028</v>
      </c>
      <c r="N249">
        <f t="shared" si="10"/>
        <v>898</v>
      </c>
      <c r="O249" t="str">
        <f t="shared" si="11"/>
        <v>Normal Merchant Day</v>
      </c>
    </row>
    <row r="250" spans="1:15" x14ac:dyDescent="0.3">
      <c r="A250" t="s">
        <v>317</v>
      </c>
      <c r="B250">
        <v>307</v>
      </c>
      <c r="C250">
        <v>4</v>
      </c>
      <c r="D250" s="1">
        <v>46047.446527777778</v>
      </c>
      <c r="E250">
        <v>1499</v>
      </c>
      <c r="F250" t="s">
        <v>66</v>
      </c>
      <c r="G250" t="s">
        <v>64</v>
      </c>
      <c r="H250">
        <v>80</v>
      </c>
      <c r="I250" t="str">
        <f>IFERROR(VLOOKUP(C250,Merchants!$A$2:$D$41,2,FALSE),"Merchant not found")</f>
        <v>Merchant_004</v>
      </c>
      <c r="J250" t="str">
        <f>IFERROR(VLOOKUP(C250,Merchants!$A$2:$D$41,3,FALSE),"Merchant not found")</f>
        <v>ecommerce</v>
      </c>
      <c r="K250" t="str">
        <f>IFERROR(VLOOKUP(C250,Merchants!$A$2:$D$41,4,FALSE),"Merchant not found")</f>
        <v>East</v>
      </c>
      <c r="L250" s="2">
        <f>HLOOKUP(F250,Fee_lookup!$A$2:$E$3,2,FALSE)</f>
        <v>2.0000000000000001E-4</v>
      </c>
      <c r="M250" s="6">
        <f t="shared" si="9"/>
        <v>46047</v>
      </c>
      <c r="N250">
        <f t="shared" si="10"/>
        <v>1998</v>
      </c>
      <c r="O250" t="str">
        <f t="shared" si="11"/>
        <v>Normal Merchant Day</v>
      </c>
    </row>
    <row r="251" spans="1:15" x14ac:dyDescent="0.3">
      <c r="A251" t="s">
        <v>318</v>
      </c>
      <c r="B251">
        <v>169</v>
      </c>
      <c r="C251">
        <v>7</v>
      </c>
      <c r="D251" s="1">
        <v>46043.419444444444</v>
      </c>
      <c r="E251">
        <v>1499</v>
      </c>
      <c r="F251" t="s">
        <v>63</v>
      </c>
      <c r="G251" t="s">
        <v>64</v>
      </c>
      <c r="H251">
        <v>71</v>
      </c>
      <c r="I251" t="str">
        <f>IFERROR(VLOOKUP(C251,Merchants!$A$2:$D$41,2,FALSE),"Merchant not found")</f>
        <v>Merchant_007</v>
      </c>
      <c r="J251" t="str">
        <f>IFERROR(VLOOKUP(C251,Merchants!$A$2:$D$41,3,FALSE),"Merchant not found")</f>
        <v>food_delivery</v>
      </c>
      <c r="K251" t="str">
        <f>IFERROR(VLOOKUP(C251,Merchants!$A$2:$D$41,4,FALSE),"Merchant not found")</f>
        <v>East</v>
      </c>
      <c r="L251" s="2">
        <f>HLOOKUP(F251,Fee_lookup!$A$2:$E$3,2,FALSE)</f>
        <v>5.0000000000000001E-4</v>
      </c>
      <c r="M251" s="6">
        <f t="shared" si="9"/>
        <v>46043</v>
      </c>
      <c r="N251">
        <f t="shared" si="10"/>
        <v>1499</v>
      </c>
      <c r="O251" t="str">
        <f t="shared" si="11"/>
        <v>Normal Merchant Day</v>
      </c>
    </row>
    <row r="252" spans="1:15" x14ac:dyDescent="0.3">
      <c r="A252" t="s">
        <v>319</v>
      </c>
      <c r="B252">
        <v>130</v>
      </c>
      <c r="C252">
        <v>39</v>
      </c>
      <c r="D252" s="1">
        <v>46044.512499999997</v>
      </c>
      <c r="E252">
        <v>2999</v>
      </c>
      <c r="F252" t="s">
        <v>63</v>
      </c>
      <c r="G252" t="s">
        <v>64</v>
      </c>
      <c r="H252">
        <v>19</v>
      </c>
      <c r="I252" t="str">
        <f>IFERROR(VLOOKUP(C252,Merchants!$A$2:$D$41,2,FALSE),"Merchant not found")</f>
        <v>Merchant_039</v>
      </c>
      <c r="J252" t="str">
        <f>IFERROR(VLOOKUP(C252,Merchants!$A$2:$D$41,3,FALSE),"Merchant not found")</f>
        <v>entertainment</v>
      </c>
      <c r="K252" t="str">
        <f>IFERROR(VLOOKUP(C252,Merchants!$A$2:$D$41,4,FALSE),"Merchant not found")</f>
        <v>North</v>
      </c>
      <c r="L252" s="2">
        <f>HLOOKUP(F252,Fee_lookup!$A$2:$E$3,2,FALSE)</f>
        <v>5.0000000000000001E-4</v>
      </c>
      <c r="M252" s="6">
        <f t="shared" si="9"/>
        <v>46044</v>
      </c>
      <c r="N252">
        <f t="shared" si="10"/>
        <v>9796</v>
      </c>
      <c r="O252" t="str">
        <f t="shared" si="11"/>
        <v>High-Value Merchant Day</v>
      </c>
    </row>
    <row r="253" spans="1:15" x14ac:dyDescent="0.3">
      <c r="A253" t="s">
        <v>320</v>
      </c>
      <c r="B253">
        <v>340</v>
      </c>
      <c r="C253">
        <v>10</v>
      </c>
      <c r="D253" s="1">
        <v>46033.109027777777</v>
      </c>
      <c r="E253">
        <v>49</v>
      </c>
      <c r="F253" t="s">
        <v>78</v>
      </c>
      <c r="G253" t="s">
        <v>64</v>
      </c>
      <c r="H253">
        <v>44</v>
      </c>
      <c r="I253" t="str">
        <f>IFERROR(VLOOKUP(C253,Merchants!$A$2:$D$41,2,FALSE),"Merchant not found")</f>
        <v>Merchant_010</v>
      </c>
      <c r="J253" t="str">
        <f>IFERROR(VLOOKUP(C253,Merchants!$A$2:$D$41,3,FALSE),"Merchant not found")</f>
        <v>grocery</v>
      </c>
      <c r="K253" t="str">
        <f>IFERROR(VLOOKUP(C253,Merchants!$A$2:$D$41,4,FALSE),"Merchant not found")</f>
        <v>West</v>
      </c>
      <c r="L253" s="2">
        <f>HLOOKUP(F253,Fee_lookup!$A$2:$E$3,2,FALSE)</f>
        <v>1.4999999999999999E-2</v>
      </c>
      <c r="M253" s="6">
        <f t="shared" si="9"/>
        <v>46033</v>
      </c>
      <c r="N253">
        <f t="shared" si="10"/>
        <v>98</v>
      </c>
      <c r="O253" t="str">
        <f t="shared" si="11"/>
        <v>Normal Merchant Day</v>
      </c>
    </row>
    <row r="254" spans="1:15" x14ac:dyDescent="0.3">
      <c r="A254" t="s">
        <v>321</v>
      </c>
      <c r="B254">
        <v>340</v>
      </c>
      <c r="C254">
        <v>26</v>
      </c>
      <c r="D254" s="1">
        <v>46032.863888888889</v>
      </c>
      <c r="E254">
        <v>299</v>
      </c>
      <c r="F254" t="s">
        <v>78</v>
      </c>
      <c r="G254" t="s">
        <v>64</v>
      </c>
      <c r="H254">
        <v>16</v>
      </c>
      <c r="I254" t="str">
        <f>IFERROR(VLOOKUP(C254,Merchants!$A$2:$D$41,2,FALSE),"Merchant not found")</f>
        <v>Merchant_026</v>
      </c>
      <c r="J254" t="str">
        <f>IFERROR(VLOOKUP(C254,Merchants!$A$2:$D$41,3,FALSE),"Merchant not found")</f>
        <v>food_delivery</v>
      </c>
      <c r="K254" t="str">
        <f>IFERROR(VLOOKUP(C254,Merchants!$A$2:$D$41,4,FALSE),"Merchant not found")</f>
        <v>East</v>
      </c>
      <c r="L254" s="2">
        <f>HLOOKUP(F254,Fee_lookup!$A$2:$E$3,2,FALSE)</f>
        <v>1.4999999999999999E-2</v>
      </c>
      <c r="M254" s="6">
        <f t="shared" si="9"/>
        <v>46032</v>
      </c>
      <c r="N254">
        <f t="shared" si="10"/>
        <v>299</v>
      </c>
      <c r="O254" t="str">
        <f t="shared" si="11"/>
        <v>Normal Merchant Day</v>
      </c>
    </row>
    <row r="255" spans="1:15" x14ac:dyDescent="0.3">
      <c r="A255" t="s">
        <v>322</v>
      </c>
      <c r="B255">
        <v>159</v>
      </c>
      <c r="C255">
        <v>36</v>
      </c>
      <c r="D255" s="1">
        <v>46042.920138888891</v>
      </c>
      <c r="E255">
        <v>49</v>
      </c>
      <c r="F255" t="s">
        <v>66</v>
      </c>
      <c r="G255" t="s">
        <v>64</v>
      </c>
      <c r="H255">
        <v>48</v>
      </c>
      <c r="I255" t="str">
        <f>IFERROR(VLOOKUP(C255,Merchants!$A$2:$D$41,2,FALSE),"Merchant not found")</f>
        <v>Merchant_036</v>
      </c>
      <c r="J255" t="str">
        <f>IFERROR(VLOOKUP(C255,Merchants!$A$2:$D$41,3,FALSE),"Merchant not found")</f>
        <v>entertainment</v>
      </c>
      <c r="K255" t="str">
        <f>IFERROR(VLOOKUP(C255,Merchants!$A$2:$D$41,4,FALSE),"Merchant not found")</f>
        <v>East</v>
      </c>
      <c r="L255" s="2">
        <f>HLOOKUP(F255,Fee_lookup!$A$2:$E$3,2,FALSE)</f>
        <v>2.0000000000000001E-4</v>
      </c>
      <c r="M255" s="6">
        <f t="shared" si="9"/>
        <v>46042</v>
      </c>
      <c r="N255">
        <f t="shared" si="10"/>
        <v>49</v>
      </c>
      <c r="O255" t="str">
        <f t="shared" si="11"/>
        <v>Normal Merchant Day</v>
      </c>
    </row>
    <row r="256" spans="1:15" x14ac:dyDescent="0.3">
      <c r="A256" t="s">
        <v>323</v>
      </c>
      <c r="B256">
        <v>66</v>
      </c>
      <c r="C256">
        <v>34</v>
      </c>
      <c r="D256" s="1">
        <v>46043.452777777777</v>
      </c>
      <c r="E256">
        <v>799</v>
      </c>
      <c r="F256" t="s">
        <v>66</v>
      </c>
      <c r="G256" t="s">
        <v>64</v>
      </c>
      <c r="H256">
        <v>11</v>
      </c>
      <c r="I256" t="str">
        <f>IFERROR(VLOOKUP(C256,Merchants!$A$2:$D$41,2,FALSE),"Merchant not found")</f>
        <v>Merchant_034</v>
      </c>
      <c r="J256" t="str">
        <f>IFERROR(VLOOKUP(C256,Merchants!$A$2:$D$41,3,FALSE),"Merchant not found")</f>
        <v>travel</v>
      </c>
      <c r="K256" t="str">
        <f>IFERROR(VLOOKUP(C256,Merchants!$A$2:$D$41,4,FALSE),"Merchant not found")</f>
        <v>South</v>
      </c>
      <c r="L256" s="2">
        <f>HLOOKUP(F256,Fee_lookup!$A$2:$E$3,2,FALSE)</f>
        <v>2.0000000000000001E-4</v>
      </c>
      <c r="M256" s="6">
        <f t="shared" si="9"/>
        <v>46043</v>
      </c>
      <c r="N256">
        <f t="shared" si="10"/>
        <v>799</v>
      </c>
      <c r="O256" t="str">
        <f t="shared" si="11"/>
        <v>Normal Merchant Day</v>
      </c>
    </row>
    <row r="257" spans="1:15" x14ac:dyDescent="0.3">
      <c r="A257" t="s">
        <v>324</v>
      </c>
      <c r="B257">
        <v>261</v>
      </c>
      <c r="C257">
        <v>24</v>
      </c>
      <c r="D257" s="1">
        <v>46043.893750000003</v>
      </c>
      <c r="E257">
        <v>799</v>
      </c>
      <c r="F257" t="s">
        <v>78</v>
      </c>
      <c r="G257" t="s">
        <v>64</v>
      </c>
      <c r="H257">
        <v>2</v>
      </c>
      <c r="I257" t="str">
        <f>IFERROR(VLOOKUP(C257,Merchants!$A$2:$D$41,2,FALSE),"Merchant not found")</f>
        <v>Merchant_024</v>
      </c>
      <c r="J257" t="str">
        <f>IFERROR(VLOOKUP(C257,Merchants!$A$2:$D$41,3,FALSE),"Merchant not found")</f>
        <v>grocery</v>
      </c>
      <c r="K257" t="str">
        <f>IFERROR(VLOOKUP(C257,Merchants!$A$2:$D$41,4,FALSE),"Merchant not found")</f>
        <v>North</v>
      </c>
      <c r="L257" s="2">
        <f>HLOOKUP(F257,Fee_lookup!$A$2:$E$3,2,FALSE)</f>
        <v>1.4999999999999999E-2</v>
      </c>
      <c r="M257" s="6">
        <f t="shared" si="9"/>
        <v>46043</v>
      </c>
      <c r="N257">
        <f t="shared" si="10"/>
        <v>799</v>
      </c>
      <c r="O257" t="str">
        <f t="shared" si="11"/>
        <v>Normal Merchant Day</v>
      </c>
    </row>
    <row r="258" spans="1:15" x14ac:dyDescent="0.3">
      <c r="A258" t="s">
        <v>325</v>
      </c>
      <c r="B258">
        <v>110</v>
      </c>
      <c r="C258">
        <v>22</v>
      </c>
      <c r="D258" s="1">
        <v>46034.382638888892</v>
      </c>
      <c r="E258">
        <v>799</v>
      </c>
      <c r="F258" t="s">
        <v>66</v>
      </c>
      <c r="G258" t="s">
        <v>64</v>
      </c>
      <c r="H258">
        <v>98</v>
      </c>
      <c r="I258" t="str">
        <f>IFERROR(VLOOKUP(C258,Merchants!$A$2:$D$41,2,FALSE),"Merchant not found")</f>
        <v>Merchant_022</v>
      </c>
      <c r="J258" t="str">
        <f>IFERROR(VLOOKUP(C258,Merchants!$A$2:$D$41,3,FALSE),"Merchant not found")</f>
        <v>travel</v>
      </c>
      <c r="K258" t="str">
        <f>IFERROR(VLOOKUP(C258,Merchants!$A$2:$D$41,4,FALSE),"Merchant not found")</f>
        <v>South</v>
      </c>
      <c r="L258" s="2">
        <f>HLOOKUP(F258,Fee_lookup!$A$2:$E$3,2,FALSE)</f>
        <v>2.0000000000000001E-4</v>
      </c>
      <c r="M258" s="6">
        <f t="shared" si="9"/>
        <v>46034</v>
      </c>
      <c r="N258">
        <f t="shared" si="10"/>
        <v>1697</v>
      </c>
      <c r="O258" t="str">
        <f t="shared" si="11"/>
        <v>Normal Merchant Day</v>
      </c>
    </row>
    <row r="259" spans="1:15" x14ac:dyDescent="0.3">
      <c r="A259" t="s">
        <v>326</v>
      </c>
      <c r="B259">
        <v>71</v>
      </c>
      <c r="C259">
        <v>10</v>
      </c>
      <c r="D259" s="1">
        <v>46038.259722222225</v>
      </c>
      <c r="E259">
        <v>49</v>
      </c>
      <c r="F259" t="s">
        <v>66</v>
      </c>
      <c r="G259" t="s">
        <v>64</v>
      </c>
      <c r="H259">
        <v>9</v>
      </c>
      <c r="I259" t="str">
        <f>IFERROR(VLOOKUP(C259,Merchants!$A$2:$D$41,2,FALSE),"Merchant not found")</f>
        <v>Merchant_010</v>
      </c>
      <c r="J259" t="str">
        <f>IFERROR(VLOOKUP(C259,Merchants!$A$2:$D$41,3,FALSE),"Merchant not found")</f>
        <v>grocery</v>
      </c>
      <c r="K259" t="str">
        <f>IFERROR(VLOOKUP(C259,Merchants!$A$2:$D$41,4,FALSE),"Merchant not found")</f>
        <v>West</v>
      </c>
      <c r="L259" s="2">
        <f>HLOOKUP(F259,Fee_lookup!$A$2:$E$3,2,FALSE)</f>
        <v>2.0000000000000001E-4</v>
      </c>
      <c r="M259" s="6">
        <f t="shared" ref="M259:M322" si="12">INT(D259)</f>
        <v>46038</v>
      </c>
      <c r="N259">
        <f t="shared" ref="N259:N322" si="13">SUMIFS($E:$E,$C:$C,C259,$M:$M,M259)</f>
        <v>49</v>
      </c>
      <c r="O259" t="str">
        <f t="shared" ref="O259:O322" si="14">IF(AND(N259&gt;5000,K259&lt;&gt;"East"),"High-Value Merchant Day","Normal Merchant Day")</f>
        <v>Normal Merchant Day</v>
      </c>
    </row>
    <row r="260" spans="1:15" x14ac:dyDescent="0.3">
      <c r="A260" t="s">
        <v>327</v>
      </c>
      <c r="B260">
        <v>277</v>
      </c>
      <c r="C260">
        <v>34</v>
      </c>
      <c r="D260" s="1">
        <v>46032.147222222222</v>
      </c>
      <c r="E260">
        <v>49</v>
      </c>
      <c r="F260" t="s">
        <v>66</v>
      </c>
      <c r="G260" t="s">
        <v>64</v>
      </c>
      <c r="H260">
        <v>4</v>
      </c>
      <c r="I260" t="str">
        <f>IFERROR(VLOOKUP(C260,Merchants!$A$2:$D$41,2,FALSE),"Merchant not found")</f>
        <v>Merchant_034</v>
      </c>
      <c r="J260" t="str">
        <f>IFERROR(VLOOKUP(C260,Merchants!$A$2:$D$41,3,FALSE),"Merchant not found")</f>
        <v>travel</v>
      </c>
      <c r="K260" t="str">
        <f>IFERROR(VLOOKUP(C260,Merchants!$A$2:$D$41,4,FALSE),"Merchant not found")</f>
        <v>South</v>
      </c>
      <c r="L260" s="2">
        <f>HLOOKUP(F260,Fee_lookup!$A$2:$E$3,2,FALSE)</f>
        <v>2.0000000000000001E-4</v>
      </c>
      <c r="M260" s="6">
        <f t="shared" si="12"/>
        <v>46032</v>
      </c>
      <c r="N260">
        <f t="shared" si="13"/>
        <v>49</v>
      </c>
      <c r="O260" t="str">
        <f t="shared" si="14"/>
        <v>Normal Merchant Day</v>
      </c>
    </row>
    <row r="261" spans="1:15" x14ac:dyDescent="0.3">
      <c r="A261" t="s">
        <v>328</v>
      </c>
      <c r="B261">
        <v>317</v>
      </c>
      <c r="C261">
        <v>9</v>
      </c>
      <c r="D261" s="1">
        <v>46044.455555555556</v>
      </c>
      <c r="E261">
        <v>499</v>
      </c>
      <c r="F261" t="s">
        <v>63</v>
      </c>
      <c r="G261" t="s">
        <v>64</v>
      </c>
      <c r="H261">
        <v>76</v>
      </c>
      <c r="I261" t="str">
        <f>IFERROR(VLOOKUP(C261,Merchants!$A$2:$D$41,2,FALSE),"Merchant not found")</f>
        <v>Merchant_009</v>
      </c>
      <c r="J261" t="str">
        <f>IFERROR(VLOOKUP(C261,Merchants!$A$2:$D$41,3,FALSE),"Merchant not found")</f>
        <v>ecommerce</v>
      </c>
      <c r="K261" t="str">
        <f>IFERROR(VLOOKUP(C261,Merchants!$A$2:$D$41,4,FALSE),"Merchant not found")</f>
        <v>North</v>
      </c>
      <c r="L261" s="2">
        <f>HLOOKUP(F261,Fee_lookup!$A$2:$E$3,2,FALSE)</f>
        <v>5.0000000000000001E-4</v>
      </c>
      <c r="M261" s="6">
        <f t="shared" si="12"/>
        <v>46044</v>
      </c>
      <c r="N261">
        <f t="shared" si="13"/>
        <v>1298</v>
      </c>
      <c r="O261" t="str">
        <f t="shared" si="14"/>
        <v>Normal Merchant Day</v>
      </c>
    </row>
    <row r="262" spans="1:15" x14ac:dyDescent="0.3">
      <c r="A262" t="s">
        <v>329</v>
      </c>
      <c r="B262">
        <v>93</v>
      </c>
      <c r="C262">
        <v>40</v>
      </c>
      <c r="D262" s="1">
        <v>46035.173611111109</v>
      </c>
      <c r="E262">
        <v>299</v>
      </c>
      <c r="F262" t="s">
        <v>66</v>
      </c>
      <c r="G262" t="s">
        <v>64</v>
      </c>
      <c r="H262">
        <v>21</v>
      </c>
      <c r="I262" t="str">
        <f>IFERROR(VLOOKUP(C262,Merchants!$A$2:$D$41,2,FALSE),"Merchant not found")</f>
        <v>Merchant_040</v>
      </c>
      <c r="J262" t="str">
        <f>IFERROR(VLOOKUP(C262,Merchants!$A$2:$D$41,3,FALSE),"Merchant not found")</f>
        <v>entertainment</v>
      </c>
      <c r="K262" t="str">
        <f>IFERROR(VLOOKUP(C262,Merchants!$A$2:$D$41,4,FALSE),"Merchant not found")</f>
        <v>South</v>
      </c>
      <c r="L262" s="2">
        <f>HLOOKUP(F262,Fee_lookup!$A$2:$E$3,2,FALSE)</f>
        <v>2.0000000000000001E-4</v>
      </c>
      <c r="M262" s="6">
        <f t="shared" si="12"/>
        <v>46035</v>
      </c>
      <c r="N262">
        <f t="shared" si="13"/>
        <v>299</v>
      </c>
      <c r="O262" t="str">
        <f t="shared" si="14"/>
        <v>Normal Merchant Day</v>
      </c>
    </row>
    <row r="263" spans="1:15" x14ac:dyDescent="0.3">
      <c r="A263" t="s">
        <v>330</v>
      </c>
      <c r="B263">
        <v>211</v>
      </c>
      <c r="C263">
        <v>24</v>
      </c>
      <c r="D263" s="1">
        <v>46046.584722222222</v>
      </c>
      <c r="E263">
        <v>99</v>
      </c>
      <c r="F263" t="s">
        <v>69</v>
      </c>
      <c r="G263" t="s">
        <v>64</v>
      </c>
      <c r="H263">
        <v>86</v>
      </c>
      <c r="I263" t="str">
        <f>IFERROR(VLOOKUP(C263,Merchants!$A$2:$D$41,2,FALSE),"Merchant not found")</f>
        <v>Merchant_024</v>
      </c>
      <c r="J263" t="str">
        <f>IFERROR(VLOOKUP(C263,Merchants!$A$2:$D$41,3,FALSE),"Merchant not found")</f>
        <v>grocery</v>
      </c>
      <c r="K263" t="str">
        <f>IFERROR(VLOOKUP(C263,Merchants!$A$2:$D$41,4,FALSE),"Merchant not found")</f>
        <v>North</v>
      </c>
      <c r="L263" s="2">
        <f>HLOOKUP(F263,Fee_lookup!$A$2:$E$3,2,FALSE)</f>
        <v>0.01</v>
      </c>
      <c r="M263" s="6">
        <f t="shared" si="12"/>
        <v>46046</v>
      </c>
      <c r="N263">
        <f t="shared" si="13"/>
        <v>148</v>
      </c>
      <c r="O263" t="str">
        <f t="shared" si="14"/>
        <v>Normal Merchant Day</v>
      </c>
    </row>
    <row r="264" spans="1:15" x14ac:dyDescent="0.3">
      <c r="A264" t="s">
        <v>331</v>
      </c>
      <c r="B264">
        <v>313</v>
      </c>
      <c r="C264">
        <v>19</v>
      </c>
      <c r="D264" s="1">
        <v>46046.311111111114</v>
      </c>
      <c r="E264">
        <v>149</v>
      </c>
      <c r="F264" t="s">
        <v>66</v>
      </c>
      <c r="G264" t="s">
        <v>64</v>
      </c>
      <c r="H264">
        <v>96</v>
      </c>
      <c r="I264" t="str">
        <f>IFERROR(VLOOKUP(C264,Merchants!$A$2:$D$41,2,FALSE),"Merchant not found")</f>
        <v>Merchant_019</v>
      </c>
      <c r="J264" t="str">
        <f>IFERROR(VLOOKUP(C264,Merchants!$A$2:$D$41,3,FALSE),"Merchant not found")</f>
        <v>grocery</v>
      </c>
      <c r="K264" t="str">
        <f>IFERROR(VLOOKUP(C264,Merchants!$A$2:$D$41,4,FALSE),"Merchant not found")</f>
        <v>North</v>
      </c>
      <c r="L264" s="2">
        <f>HLOOKUP(F264,Fee_lookup!$A$2:$E$3,2,FALSE)</f>
        <v>2.0000000000000001E-4</v>
      </c>
      <c r="M264" s="6">
        <f t="shared" si="12"/>
        <v>46046</v>
      </c>
      <c r="N264">
        <f t="shared" si="13"/>
        <v>149</v>
      </c>
      <c r="O264" t="str">
        <f t="shared" si="14"/>
        <v>Normal Merchant Day</v>
      </c>
    </row>
    <row r="265" spans="1:15" x14ac:dyDescent="0.3">
      <c r="A265" t="s">
        <v>332</v>
      </c>
      <c r="B265">
        <v>274</v>
      </c>
      <c r="C265">
        <v>16</v>
      </c>
      <c r="D265" s="1">
        <v>46046.593055555553</v>
      </c>
      <c r="E265">
        <v>49</v>
      </c>
      <c r="F265" t="s">
        <v>63</v>
      </c>
      <c r="G265" t="s">
        <v>79</v>
      </c>
      <c r="H265">
        <v>39</v>
      </c>
      <c r="I265" t="str">
        <f>IFERROR(VLOOKUP(C265,Merchants!$A$2:$D$41,2,FALSE),"Merchant not found")</f>
        <v>Merchant_016</v>
      </c>
      <c r="J265" t="str">
        <f>IFERROR(VLOOKUP(C265,Merchants!$A$2:$D$41,3,FALSE),"Merchant not found")</f>
        <v>bill_payment</v>
      </c>
      <c r="K265" t="str">
        <f>IFERROR(VLOOKUP(C265,Merchants!$A$2:$D$41,4,FALSE),"Merchant not found")</f>
        <v>West</v>
      </c>
      <c r="L265" s="2">
        <f>HLOOKUP(F265,Fee_lookup!$A$2:$E$3,2,FALSE)</f>
        <v>5.0000000000000001E-4</v>
      </c>
      <c r="M265" s="6">
        <f t="shared" si="12"/>
        <v>46046</v>
      </c>
      <c r="N265">
        <f t="shared" si="13"/>
        <v>1548</v>
      </c>
      <c r="O265" t="str">
        <f t="shared" si="14"/>
        <v>Normal Merchant Day</v>
      </c>
    </row>
    <row r="266" spans="1:15" x14ac:dyDescent="0.3">
      <c r="A266" t="s">
        <v>333</v>
      </c>
      <c r="B266">
        <v>100</v>
      </c>
      <c r="C266">
        <v>24</v>
      </c>
      <c r="D266" s="1">
        <v>46048.664583333331</v>
      </c>
      <c r="E266">
        <v>299</v>
      </c>
      <c r="F266" t="s">
        <v>66</v>
      </c>
      <c r="G266" t="s">
        <v>64</v>
      </c>
      <c r="H266">
        <v>86</v>
      </c>
      <c r="I266" t="str">
        <f>IFERROR(VLOOKUP(C266,Merchants!$A$2:$D$41,2,FALSE),"Merchant not found")</f>
        <v>Merchant_024</v>
      </c>
      <c r="J266" t="str">
        <f>IFERROR(VLOOKUP(C266,Merchants!$A$2:$D$41,3,FALSE),"Merchant not found")</f>
        <v>grocery</v>
      </c>
      <c r="K266" t="str">
        <f>IFERROR(VLOOKUP(C266,Merchants!$A$2:$D$41,4,FALSE),"Merchant not found")</f>
        <v>North</v>
      </c>
      <c r="L266" s="2">
        <f>HLOOKUP(F266,Fee_lookup!$A$2:$E$3,2,FALSE)</f>
        <v>2.0000000000000001E-4</v>
      </c>
      <c r="M266" s="6">
        <f t="shared" si="12"/>
        <v>46048</v>
      </c>
      <c r="N266">
        <f t="shared" si="13"/>
        <v>348</v>
      </c>
      <c r="O266" t="str">
        <f t="shared" si="14"/>
        <v>Normal Merchant Day</v>
      </c>
    </row>
    <row r="267" spans="1:15" x14ac:dyDescent="0.3">
      <c r="A267" t="s">
        <v>334</v>
      </c>
      <c r="B267">
        <v>145</v>
      </c>
      <c r="C267">
        <v>25</v>
      </c>
      <c r="D267" s="1">
        <v>46041.603472222225</v>
      </c>
      <c r="E267">
        <v>2999</v>
      </c>
      <c r="F267" t="s">
        <v>63</v>
      </c>
      <c r="G267" t="s">
        <v>64</v>
      </c>
      <c r="H267">
        <v>64</v>
      </c>
      <c r="I267" t="str">
        <f>IFERROR(VLOOKUP(C267,Merchants!$A$2:$D$41,2,FALSE),"Merchant not found")</f>
        <v>Merchant_025</v>
      </c>
      <c r="J267" t="str">
        <f>IFERROR(VLOOKUP(C267,Merchants!$A$2:$D$41,3,FALSE),"Merchant not found")</f>
        <v>travel</v>
      </c>
      <c r="K267" t="str">
        <f>IFERROR(VLOOKUP(C267,Merchants!$A$2:$D$41,4,FALSE),"Merchant not found")</f>
        <v>South</v>
      </c>
      <c r="L267" s="2">
        <f>HLOOKUP(F267,Fee_lookup!$A$2:$E$3,2,FALSE)</f>
        <v>5.0000000000000001E-4</v>
      </c>
      <c r="M267" s="6">
        <f t="shared" si="12"/>
        <v>46041</v>
      </c>
      <c r="N267">
        <f t="shared" si="13"/>
        <v>4498</v>
      </c>
      <c r="O267" t="str">
        <f t="shared" si="14"/>
        <v>Normal Merchant Day</v>
      </c>
    </row>
    <row r="268" spans="1:15" x14ac:dyDescent="0.3">
      <c r="A268" t="s">
        <v>335</v>
      </c>
      <c r="B268">
        <v>103</v>
      </c>
      <c r="C268">
        <v>39</v>
      </c>
      <c r="D268" s="1">
        <v>46039.548611111109</v>
      </c>
      <c r="E268">
        <v>2999</v>
      </c>
      <c r="F268" t="s">
        <v>63</v>
      </c>
      <c r="G268" t="s">
        <v>64</v>
      </c>
      <c r="H268">
        <v>17</v>
      </c>
      <c r="I268" t="str">
        <f>IFERROR(VLOOKUP(C268,Merchants!$A$2:$D$41,2,FALSE),"Merchant not found")</f>
        <v>Merchant_039</v>
      </c>
      <c r="J268" t="str">
        <f>IFERROR(VLOOKUP(C268,Merchants!$A$2:$D$41,3,FALSE),"Merchant not found")</f>
        <v>entertainment</v>
      </c>
      <c r="K268" t="str">
        <f>IFERROR(VLOOKUP(C268,Merchants!$A$2:$D$41,4,FALSE),"Merchant not found")</f>
        <v>North</v>
      </c>
      <c r="L268" s="2">
        <f>HLOOKUP(F268,Fee_lookup!$A$2:$E$3,2,FALSE)</f>
        <v>5.0000000000000001E-4</v>
      </c>
      <c r="M268" s="6">
        <f t="shared" si="12"/>
        <v>46039</v>
      </c>
      <c r="N268">
        <f t="shared" si="13"/>
        <v>2999</v>
      </c>
      <c r="O268" t="str">
        <f t="shared" si="14"/>
        <v>Normal Merchant Day</v>
      </c>
    </row>
    <row r="269" spans="1:15" x14ac:dyDescent="0.3">
      <c r="A269" t="s">
        <v>336</v>
      </c>
      <c r="B269">
        <v>329</v>
      </c>
      <c r="C269">
        <v>31</v>
      </c>
      <c r="D269" s="1">
        <v>46050.335416666669</v>
      </c>
      <c r="E269">
        <v>299</v>
      </c>
      <c r="F269" t="s">
        <v>63</v>
      </c>
      <c r="G269" t="s">
        <v>64</v>
      </c>
      <c r="H269">
        <v>47</v>
      </c>
      <c r="I269" t="str">
        <f>IFERROR(VLOOKUP(C269,Merchants!$A$2:$D$41,2,FALSE),"Merchant not found")</f>
        <v>Merchant_031</v>
      </c>
      <c r="J269" t="str">
        <f>IFERROR(VLOOKUP(C269,Merchants!$A$2:$D$41,3,FALSE),"Merchant not found")</f>
        <v>bill_payment</v>
      </c>
      <c r="K269" t="str">
        <f>IFERROR(VLOOKUP(C269,Merchants!$A$2:$D$41,4,FALSE),"Merchant not found")</f>
        <v>East</v>
      </c>
      <c r="L269" s="2">
        <f>HLOOKUP(F269,Fee_lookup!$A$2:$E$3,2,FALSE)</f>
        <v>5.0000000000000001E-4</v>
      </c>
      <c r="M269" s="6">
        <f t="shared" si="12"/>
        <v>46050</v>
      </c>
      <c r="N269">
        <f t="shared" si="13"/>
        <v>299</v>
      </c>
      <c r="O269" t="str">
        <f t="shared" si="14"/>
        <v>Normal Merchant Day</v>
      </c>
    </row>
    <row r="270" spans="1:15" x14ac:dyDescent="0.3">
      <c r="A270" t="s">
        <v>337</v>
      </c>
      <c r="B270">
        <v>265</v>
      </c>
      <c r="C270">
        <v>8</v>
      </c>
      <c r="D270" s="1">
        <v>46040.15625</v>
      </c>
      <c r="E270">
        <v>499</v>
      </c>
      <c r="F270" t="s">
        <v>69</v>
      </c>
      <c r="G270" t="s">
        <v>64</v>
      </c>
      <c r="H270">
        <v>36</v>
      </c>
      <c r="I270" t="str">
        <f>IFERROR(VLOOKUP(C270,Merchants!$A$2:$D$41,2,FALSE),"Merchant not found")</f>
        <v>Merchant_008</v>
      </c>
      <c r="J270" t="str">
        <f>IFERROR(VLOOKUP(C270,Merchants!$A$2:$D$41,3,FALSE),"Merchant not found")</f>
        <v>food_delivery</v>
      </c>
      <c r="K270" t="str">
        <f>IFERROR(VLOOKUP(C270,Merchants!$A$2:$D$41,4,FALSE),"Merchant not found")</f>
        <v>North</v>
      </c>
      <c r="L270" s="2">
        <f>HLOOKUP(F270,Fee_lookup!$A$2:$E$3,2,FALSE)</f>
        <v>0.01</v>
      </c>
      <c r="M270" s="6">
        <f t="shared" si="12"/>
        <v>46040</v>
      </c>
      <c r="N270">
        <f t="shared" si="13"/>
        <v>499</v>
      </c>
      <c r="O270" t="str">
        <f t="shared" si="14"/>
        <v>Normal Merchant Day</v>
      </c>
    </row>
    <row r="271" spans="1:15" x14ac:dyDescent="0.3">
      <c r="A271" t="s">
        <v>338</v>
      </c>
      <c r="B271">
        <v>231</v>
      </c>
      <c r="C271">
        <v>33</v>
      </c>
      <c r="D271" s="1">
        <v>46025.220138888886</v>
      </c>
      <c r="E271">
        <v>149</v>
      </c>
      <c r="F271" t="s">
        <v>66</v>
      </c>
      <c r="G271" t="s">
        <v>79</v>
      </c>
      <c r="H271">
        <v>18</v>
      </c>
      <c r="I271" t="str">
        <f>IFERROR(VLOOKUP(C271,Merchants!$A$2:$D$41,2,FALSE),"Merchant not found")</f>
        <v>Merchant_033</v>
      </c>
      <c r="J271" t="str">
        <f>IFERROR(VLOOKUP(C271,Merchants!$A$2:$D$41,3,FALSE),"Merchant not found")</f>
        <v>bill_payment</v>
      </c>
      <c r="K271" t="str">
        <f>IFERROR(VLOOKUP(C271,Merchants!$A$2:$D$41,4,FALSE),"Merchant not found")</f>
        <v>East</v>
      </c>
      <c r="L271" s="2">
        <f>HLOOKUP(F271,Fee_lookup!$A$2:$E$3,2,FALSE)</f>
        <v>2.0000000000000001E-4</v>
      </c>
      <c r="M271" s="6">
        <f t="shared" si="12"/>
        <v>46025</v>
      </c>
      <c r="N271">
        <f t="shared" si="13"/>
        <v>149</v>
      </c>
      <c r="O271" t="str">
        <f t="shared" si="14"/>
        <v>Normal Merchant Day</v>
      </c>
    </row>
    <row r="272" spans="1:15" x14ac:dyDescent="0.3">
      <c r="A272" t="s">
        <v>339</v>
      </c>
      <c r="B272">
        <v>114</v>
      </c>
      <c r="C272">
        <v>29</v>
      </c>
      <c r="D272" s="1">
        <v>46049.545138888891</v>
      </c>
      <c r="E272">
        <v>799</v>
      </c>
      <c r="F272" t="s">
        <v>66</v>
      </c>
      <c r="G272" t="s">
        <v>92</v>
      </c>
      <c r="H272">
        <v>44</v>
      </c>
      <c r="I272" t="str">
        <f>IFERROR(VLOOKUP(C272,Merchants!$A$2:$D$41,2,FALSE),"Merchant not found")</f>
        <v>Merchant_029</v>
      </c>
      <c r="J272" t="str">
        <f>IFERROR(VLOOKUP(C272,Merchants!$A$2:$D$41,3,FALSE),"Merchant not found")</f>
        <v>ecommerce</v>
      </c>
      <c r="K272" t="str">
        <f>IFERROR(VLOOKUP(C272,Merchants!$A$2:$D$41,4,FALSE),"Merchant not found")</f>
        <v>North</v>
      </c>
      <c r="L272" s="2">
        <f>HLOOKUP(F272,Fee_lookup!$A$2:$E$3,2,FALSE)</f>
        <v>2.0000000000000001E-4</v>
      </c>
      <c r="M272" s="6">
        <f t="shared" si="12"/>
        <v>46049</v>
      </c>
      <c r="N272">
        <f t="shared" si="13"/>
        <v>898</v>
      </c>
      <c r="O272" t="str">
        <f t="shared" si="14"/>
        <v>Normal Merchant Day</v>
      </c>
    </row>
    <row r="273" spans="1:15" x14ac:dyDescent="0.3">
      <c r="A273" t="s">
        <v>340</v>
      </c>
      <c r="B273">
        <v>28</v>
      </c>
      <c r="C273">
        <v>26</v>
      </c>
      <c r="D273" s="1">
        <v>46052.018055555556</v>
      </c>
      <c r="E273">
        <v>1499</v>
      </c>
      <c r="F273" t="s">
        <v>66</v>
      </c>
      <c r="G273" t="s">
        <v>79</v>
      </c>
      <c r="H273">
        <v>64</v>
      </c>
      <c r="I273" t="str">
        <f>IFERROR(VLOOKUP(C273,Merchants!$A$2:$D$41,2,FALSE),"Merchant not found")</f>
        <v>Merchant_026</v>
      </c>
      <c r="J273" t="str">
        <f>IFERROR(VLOOKUP(C273,Merchants!$A$2:$D$41,3,FALSE),"Merchant not found")</f>
        <v>food_delivery</v>
      </c>
      <c r="K273" t="str">
        <f>IFERROR(VLOOKUP(C273,Merchants!$A$2:$D$41,4,FALSE),"Merchant not found")</f>
        <v>East</v>
      </c>
      <c r="L273" s="2">
        <f>HLOOKUP(F273,Fee_lookup!$A$2:$E$3,2,FALSE)</f>
        <v>2.0000000000000001E-4</v>
      </c>
      <c r="M273" s="6">
        <f t="shared" si="12"/>
        <v>46052</v>
      </c>
      <c r="N273">
        <f t="shared" si="13"/>
        <v>1499</v>
      </c>
      <c r="O273" t="str">
        <f t="shared" si="14"/>
        <v>Normal Merchant Day</v>
      </c>
    </row>
    <row r="274" spans="1:15" x14ac:dyDescent="0.3">
      <c r="A274" t="s">
        <v>341</v>
      </c>
      <c r="B274">
        <v>42</v>
      </c>
      <c r="C274">
        <v>24</v>
      </c>
      <c r="D274" s="1">
        <v>46034.308333333334</v>
      </c>
      <c r="E274">
        <v>149</v>
      </c>
      <c r="F274" t="s">
        <v>66</v>
      </c>
      <c r="G274" t="s">
        <v>64</v>
      </c>
      <c r="H274">
        <v>28</v>
      </c>
      <c r="I274" t="str">
        <f>IFERROR(VLOOKUP(C274,Merchants!$A$2:$D$41,2,FALSE),"Merchant not found")</f>
        <v>Merchant_024</v>
      </c>
      <c r="J274" t="str">
        <f>IFERROR(VLOOKUP(C274,Merchants!$A$2:$D$41,3,FALSE),"Merchant not found")</f>
        <v>grocery</v>
      </c>
      <c r="K274" t="str">
        <f>IFERROR(VLOOKUP(C274,Merchants!$A$2:$D$41,4,FALSE),"Merchant not found")</f>
        <v>North</v>
      </c>
      <c r="L274" s="2">
        <f>HLOOKUP(F274,Fee_lookup!$A$2:$E$3,2,FALSE)</f>
        <v>2.0000000000000001E-4</v>
      </c>
      <c r="M274" s="6">
        <f t="shared" si="12"/>
        <v>46034</v>
      </c>
      <c r="N274">
        <f t="shared" si="13"/>
        <v>149</v>
      </c>
      <c r="O274" t="str">
        <f t="shared" si="14"/>
        <v>Normal Merchant Day</v>
      </c>
    </row>
    <row r="275" spans="1:15" x14ac:dyDescent="0.3">
      <c r="A275" t="s">
        <v>342</v>
      </c>
      <c r="B275">
        <v>51</v>
      </c>
      <c r="C275">
        <v>22</v>
      </c>
      <c r="D275" s="1">
        <v>46023.457638888889</v>
      </c>
      <c r="E275">
        <v>799</v>
      </c>
      <c r="F275" t="s">
        <v>66</v>
      </c>
      <c r="G275" t="s">
        <v>64</v>
      </c>
      <c r="H275">
        <v>18</v>
      </c>
      <c r="I275" t="str">
        <f>IFERROR(VLOOKUP(C275,Merchants!$A$2:$D$41,2,FALSE),"Merchant not found")</f>
        <v>Merchant_022</v>
      </c>
      <c r="J275" t="str">
        <f>IFERROR(VLOOKUP(C275,Merchants!$A$2:$D$41,3,FALSE),"Merchant not found")</f>
        <v>travel</v>
      </c>
      <c r="K275" t="str">
        <f>IFERROR(VLOOKUP(C275,Merchants!$A$2:$D$41,4,FALSE),"Merchant not found")</f>
        <v>South</v>
      </c>
      <c r="L275" s="2">
        <f>HLOOKUP(F275,Fee_lookup!$A$2:$E$3,2,FALSE)</f>
        <v>2.0000000000000001E-4</v>
      </c>
      <c r="M275" s="6">
        <f t="shared" si="12"/>
        <v>46023</v>
      </c>
      <c r="N275">
        <f t="shared" si="13"/>
        <v>799</v>
      </c>
      <c r="O275" t="str">
        <f t="shared" si="14"/>
        <v>Normal Merchant Day</v>
      </c>
    </row>
    <row r="276" spans="1:15" x14ac:dyDescent="0.3">
      <c r="A276" t="s">
        <v>343</v>
      </c>
      <c r="B276">
        <v>242</v>
      </c>
      <c r="C276">
        <v>9</v>
      </c>
      <c r="D276" s="1">
        <v>46027.054166666669</v>
      </c>
      <c r="E276">
        <v>149</v>
      </c>
      <c r="F276" t="s">
        <v>66</v>
      </c>
      <c r="G276" t="s">
        <v>64</v>
      </c>
      <c r="H276">
        <v>97</v>
      </c>
      <c r="I276" t="str">
        <f>IFERROR(VLOOKUP(C276,Merchants!$A$2:$D$41,2,FALSE),"Merchant not found")</f>
        <v>Merchant_009</v>
      </c>
      <c r="J276" t="str">
        <f>IFERROR(VLOOKUP(C276,Merchants!$A$2:$D$41,3,FALSE),"Merchant not found")</f>
        <v>ecommerce</v>
      </c>
      <c r="K276" t="str">
        <f>IFERROR(VLOOKUP(C276,Merchants!$A$2:$D$41,4,FALSE),"Merchant not found")</f>
        <v>North</v>
      </c>
      <c r="L276" s="2">
        <f>HLOOKUP(F276,Fee_lookup!$A$2:$E$3,2,FALSE)</f>
        <v>2.0000000000000001E-4</v>
      </c>
      <c r="M276" s="6">
        <f t="shared" si="12"/>
        <v>46027</v>
      </c>
      <c r="N276">
        <f t="shared" si="13"/>
        <v>149</v>
      </c>
      <c r="O276" t="str">
        <f t="shared" si="14"/>
        <v>Normal Merchant Day</v>
      </c>
    </row>
    <row r="277" spans="1:15" x14ac:dyDescent="0.3">
      <c r="A277" t="s">
        <v>344</v>
      </c>
      <c r="B277">
        <v>316</v>
      </c>
      <c r="C277">
        <v>1</v>
      </c>
      <c r="D277" s="1">
        <v>46045.644444444442</v>
      </c>
      <c r="E277">
        <v>149</v>
      </c>
      <c r="F277" t="s">
        <v>66</v>
      </c>
      <c r="G277" t="s">
        <v>64</v>
      </c>
      <c r="H277">
        <v>10</v>
      </c>
      <c r="I277" t="str">
        <f>IFERROR(VLOOKUP(C277,Merchants!$A$2:$D$41,2,FALSE),"Merchant not found")</f>
        <v>Merchant_001</v>
      </c>
      <c r="J277" t="str">
        <f>IFERROR(VLOOKUP(C277,Merchants!$A$2:$D$41,3,FALSE),"Merchant not found")</f>
        <v>ecommerce</v>
      </c>
      <c r="K277" t="str">
        <f>IFERROR(VLOOKUP(C277,Merchants!$A$2:$D$41,4,FALSE),"Merchant not found")</f>
        <v>South</v>
      </c>
      <c r="L277" s="2">
        <f>HLOOKUP(F277,Fee_lookup!$A$2:$E$3,2,FALSE)</f>
        <v>2.0000000000000001E-4</v>
      </c>
      <c r="M277" s="6">
        <f t="shared" si="12"/>
        <v>46045</v>
      </c>
      <c r="N277">
        <f t="shared" si="13"/>
        <v>3148</v>
      </c>
      <c r="O277" t="str">
        <f t="shared" si="14"/>
        <v>Normal Merchant Day</v>
      </c>
    </row>
    <row r="278" spans="1:15" x14ac:dyDescent="0.3">
      <c r="A278" t="s">
        <v>345</v>
      </c>
      <c r="B278">
        <v>77</v>
      </c>
      <c r="C278">
        <v>36</v>
      </c>
      <c r="D278" s="1">
        <v>46023.342361111114</v>
      </c>
      <c r="E278">
        <v>149</v>
      </c>
      <c r="F278" t="s">
        <v>66</v>
      </c>
      <c r="G278" t="s">
        <v>64</v>
      </c>
      <c r="H278">
        <v>93</v>
      </c>
      <c r="I278" t="str">
        <f>IFERROR(VLOOKUP(C278,Merchants!$A$2:$D$41,2,FALSE),"Merchant not found")</f>
        <v>Merchant_036</v>
      </c>
      <c r="J278" t="str">
        <f>IFERROR(VLOOKUP(C278,Merchants!$A$2:$D$41,3,FALSE),"Merchant not found")</f>
        <v>entertainment</v>
      </c>
      <c r="K278" t="str">
        <f>IFERROR(VLOOKUP(C278,Merchants!$A$2:$D$41,4,FALSE),"Merchant not found")</f>
        <v>East</v>
      </c>
      <c r="L278" s="2">
        <f>HLOOKUP(F278,Fee_lookup!$A$2:$E$3,2,FALSE)</f>
        <v>2.0000000000000001E-4</v>
      </c>
      <c r="M278" s="6">
        <f t="shared" si="12"/>
        <v>46023</v>
      </c>
      <c r="N278">
        <f t="shared" si="13"/>
        <v>149</v>
      </c>
      <c r="O278" t="str">
        <f t="shared" si="14"/>
        <v>Normal Merchant Day</v>
      </c>
    </row>
    <row r="279" spans="1:15" x14ac:dyDescent="0.3">
      <c r="A279" t="s">
        <v>346</v>
      </c>
      <c r="B279">
        <v>57</v>
      </c>
      <c r="C279">
        <v>19</v>
      </c>
      <c r="D279" s="1">
        <v>46042.685416666667</v>
      </c>
      <c r="E279">
        <v>49</v>
      </c>
      <c r="F279" t="s">
        <v>66</v>
      </c>
      <c r="G279" t="s">
        <v>64</v>
      </c>
      <c r="H279">
        <v>30</v>
      </c>
      <c r="I279" t="str">
        <f>IFERROR(VLOOKUP(C279,Merchants!$A$2:$D$41,2,FALSE),"Merchant not found")</f>
        <v>Merchant_019</v>
      </c>
      <c r="J279" t="str">
        <f>IFERROR(VLOOKUP(C279,Merchants!$A$2:$D$41,3,FALSE),"Merchant not found")</f>
        <v>grocery</v>
      </c>
      <c r="K279" t="str">
        <f>IFERROR(VLOOKUP(C279,Merchants!$A$2:$D$41,4,FALSE),"Merchant not found")</f>
        <v>North</v>
      </c>
      <c r="L279" s="2">
        <f>HLOOKUP(F279,Fee_lookup!$A$2:$E$3,2,FALSE)</f>
        <v>2.0000000000000001E-4</v>
      </c>
      <c r="M279" s="6">
        <f t="shared" si="12"/>
        <v>46042</v>
      </c>
      <c r="N279">
        <f t="shared" si="13"/>
        <v>348</v>
      </c>
      <c r="O279" t="str">
        <f t="shared" si="14"/>
        <v>Normal Merchant Day</v>
      </c>
    </row>
    <row r="280" spans="1:15" x14ac:dyDescent="0.3">
      <c r="A280" t="s">
        <v>347</v>
      </c>
      <c r="B280">
        <v>123</v>
      </c>
      <c r="C280">
        <v>27</v>
      </c>
      <c r="D280" s="1">
        <v>46032.127083333333</v>
      </c>
      <c r="E280">
        <v>149</v>
      </c>
      <c r="F280" t="s">
        <v>69</v>
      </c>
      <c r="G280" t="s">
        <v>64</v>
      </c>
      <c r="H280">
        <v>81</v>
      </c>
      <c r="I280" t="str">
        <f>IFERROR(VLOOKUP(C280,Merchants!$A$2:$D$41,2,FALSE),"Merchant not found")</f>
        <v>Merchant_027</v>
      </c>
      <c r="J280" t="str">
        <f>IFERROR(VLOOKUP(C280,Merchants!$A$2:$D$41,3,FALSE),"Merchant not found")</f>
        <v>ecommerce</v>
      </c>
      <c r="K280" t="str">
        <f>IFERROR(VLOOKUP(C280,Merchants!$A$2:$D$41,4,FALSE),"Merchant not found")</f>
        <v>North</v>
      </c>
      <c r="L280" s="2">
        <f>HLOOKUP(F280,Fee_lookup!$A$2:$E$3,2,FALSE)</f>
        <v>0.01</v>
      </c>
      <c r="M280" s="6">
        <f t="shared" si="12"/>
        <v>46032</v>
      </c>
      <c r="N280">
        <f t="shared" si="13"/>
        <v>149</v>
      </c>
      <c r="O280" t="str">
        <f t="shared" si="14"/>
        <v>Normal Merchant Day</v>
      </c>
    </row>
    <row r="281" spans="1:15" x14ac:dyDescent="0.3">
      <c r="A281" t="s">
        <v>348</v>
      </c>
      <c r="B281">
        <v>33</v>
      </c>
      <c r="C281">
        <v>8</v>
      </c>
      <c r="D281" s="1">
        <v>46048.811805555553</v>
      </c>
      <c r="E281">
        <v>299</v>
      </c>
      <c r="F281" t="s">
        <v>63</v>
      </c>
      <c r="G281" t="s">
        <v>64</v>
      </c>
      <c r="H281">
        <v>63</v>
      </c>
      <c r="I281" t="str">
        <f>IFERROR(VLOOKUP(C281,Merchants!$A$2:$D$41,2,FALSE),"Merchant not found")</f>
        <v>Merchant_008</v>
      </c>
      <c r="J281" t="str">
        <f>IFERROR(VLOOKUP(C281,Merchants!$A$2:$D$41,3,FALSE),"Merchant not found")</f>
        <v>food_delivery</v>
      </c>
      <c r="K281" t="str">
        <f>IFERROR(VLOOKUP(C281,Merchants!$A$2:$D$41,4,FALSE),"Merchant not found")</f>
        <v>North</v>
      </c>
      <c r="L281" s="2">
        <f>HLOOKUP(F281,Fee_lookup!$A$2:$E$3,2,FALSE)</f>
        <v>5.0000000000000001E-4</v>
      </c>
      <c r="M281" s="6">
        <f t="shared" si="12"/>
        <v>46048</v>
      </c>
      <c r="N281">
        <f t="shared" si="13"/>
        <v>598</v>
      </c>
      <c r="O281" t="str">
        <f t="shared" si="14"/>
        <v>Normal Merchant Day</v>
      </c>
    </row>
    <row r="282" spans="1:15" x14ac:dyDescent="0.3">
      <c r="A282" t="s">
        <v>349</v>
      </c>
      <c r="B282">
        <v>324</v>
      </c>
      <c r="C282">
        <v>33</v>
      </c>
      <c r="D282" s="1">
        <v>46042.709027777775</v>
      </c>
      <c r="E282">
        <v>499</v>
      </c>
      <c r="F282" t="s">
        <v>66</v>
      </c>
      <c r="G282" t="s">
        <v>64</v>
      </c>
      <c r="H282">
        <v>73</v>
      </c>
      <c r="I282" t="str">
        <f>IFERROR(VLOOKUP(C282,Merchants!$A$2:$D$41,2,FALSE),"Merchant not found")</f>
        <v>Merchant_033</v>
      </c>
      <c r="J282" t="str">
        <f>IFERROR(VLOOKUP(C282,Merchants!$A$2:$D$41,3,FALSE),"Merchant not found")</f>
        <v>bill_payment</v>
      </c>
      <c r="K282" t="str">
        <f>IFERROR(VLOOKUP(C282,Merchants!$A$2:$D$41,4,FALSE),"Merchant not found")</f>
        <v>East</v>
      </c>
      <c r="L282" s="2">
        <f>HLOOKUP(F282,Fee_lookup!$A$2:$E$3,2,FALSE)</f>
        <v>2.0000000000000001E-4</v>
      </c>
      <c r="M282" s="6">
        <f t="shared" si="12"/>
        <v>46042</v>
      </c>
      <c r="N282">
        <f t="shared" si="13"/>
        <v>499</v>
      </c>
      <c r="O282" t="str">
        <f t="shared" si="14"/>
        <v>Normal Merchant Day</v>
      </c>
    </row>
    <row r="283" spans="1:15" x14ac:dyDescent="0.3">
      <c r="A283" t="s">
        <v>350</v>
      </c>
      <c r="B283">
        <v>150</v>
      </c>
      <c r="C283">
        <v>28</v>
      </c>
      <c r="D283" s="1">
        <v>46030.92291666667</v>
      </c>
      <c r="E283">
        <v>49</v>
      </c>
      <c r="F283" t="s">
        <v>66</v>
      </c>
      <c r="G283" t="s">
        <v>79</v>
      </c>
      <c r="H283">
        <v>0</v>
      </c>
      <c r="I283" t="str">
        <f>IFERROR(VLOOKUP(C283,Merchants!$A$2:$D$41,2,FALSE),"Merchant not found")</f>
        <v>Merchant_028</v>
      </c>
      <c r="J283" t="str">
        <f>IFERROR(VLOOKUP(C283,Merchants!$A$2:$D$41,3,FALSE),"Merchant not found")</f>
        <v>ecommerce</v>
      </c>
      <c r="K283" t="str">
        <f>IFERROR(VLOOKUP(C283,Merchants!$A$2:$D$41,4,FALSE),"Merchant not found")</f>
        <v>South</v>
      </c>
      <c r="L283" s="2">
        <f>HLOOKUP(F283,Fee_lookup!$A$2:$E$3,2,FALSE)</f>
        <v>2.0000000000000001E-4</v>
      </c>
      <c r="M283" s="6">
        <f t="shared" si="12"/>
        <v>46030</v>
      </c>
      <c r="N283">
        <f t="shared" si="13"/>
        <v>49</v>
      </c>
      <c r="O283" t="str">
        <f t="shared" si="14"/>
        <v>Normal Merchant Day</v>
      </c>
    </row>
    <row r="284" spans="1:15" x14ac:dyDescent="0.3">
      <c r="A284" t="s">
        <v>351</v>
      </c>
      <c r="B284">
        <v>293</v>
      </c>
      <c r="C284">
        <v>27</v>
      </c>
      <c r="D284" s="1">
        <v>46042.46875</v>
      </c>
      <c r="E284">
        <v>4999</v>
      </c>
      <c r="F284" t="s">
        <v>66</v>
      </c>
      <c r="G284" t="s">
        <v>64</v>
      </c>
      <c r="H284">
        <v>23</v>
      </c>
      <c r="I284" t="str">
        <f>IFERROR(VLOOKUP(C284,Merchants!$A$2:$D$41,2,FALSE),"Merchant not found")</f>
        <v>Merchant_027</v>
      </c>
      <c r="J284" t="str">
        <f>IFERROR(VLOOKUP(C284,Merchants!$A$2:$D$41,3,FALSE),"Merchant not found")</f>
        <v>ecommerce</v>
      </c>
      <c r="K284" t="str">
        <f>IFERROR(VLOOKUP(C284,Merchants!$A$2:$D$41,4,FALSE),"Merchant not found")</f>
        <v>North</v>
      </c>
      <c r="L284" s="2">
        <f>HLOOKUP(F284,Fee_lookup!$A$2:$E$3,2,FALSE)</f>
        <v>2.0000000000000001E-4</v>
      </c>
      <c r="M284" s="6">
        <f t="shared" si="12"/>
        <v>46042</v>
      </c>
      <c r="N284">
        <f t="shared" si="13"/>
        <v>4999</v>
      </c>
      <c r="O284" t="str">
        <f t="shared" si="14"/>
        <v>Normal Merchant Day</v>
      </c>
    </row>
    <row r="285" spans="1:15" x14ac:dyDescent="0.3">
      <c r="A285" t="s">
        <v>352</v>
      </c>
      <c r="B285">
        <v>269</v>
      </c>
      <c r="C285">
        <v>24</v>
      </c>
      <c r="D285" s="1">
        <v>46044.878472222219</v>
      </c>
      <c r="E285">
        <v>49</v>
      </c>
      <c r="F285" t="s">
        <v>63</v>
      </c>
      <c r="G285" t="s">
        <v>64</v>
      </c>
      <c r="H285">
        <v>8</v>
      </c>
      <c r="I285" t="str">
        <f>IFERROR(VLOOKUP(C285,Merchants!$A$2:$D$41,2,FALSE),"Merchant not found")</f>
        <v>Merchant_024</v>
      </c>
      <c r="J285" t="str">
        <f>IFERROR(VLOOKUP(C285,Merchants!$A$2:$D$41,3,FALSE),"Merchant not found")</f>
        <v>grocery</v>
      </c>
      <c r="K285" t="str">
        <f>IFERROR(VLOOKUP(C285,Merchants!$A$2:$D$41,4,FALSE),"Merchant not found")</f>
        <v>North</v>
      </c>
      <c r="L285" s="2">
        <f>HLOOKUP(F285,Fee_lookup!$A$2:$E$3,2,FALSE)</f>
        <v>5.0000000000000001E-4</v>
      </c>
      <c r="M285" s="6">
        <f t="shared" si="12"/>
        <v>46044</v>
      </c>
      <c r="N285">
        <f t="shared" si="13"/>
        <v>49</v>
      </c>
      <c r="O285" t="str">
        <f t="shared" si="14"/>
        <v>Normal Merchant Day</v>
      </c>
    </row>
    <row r="286" spans="1:15" x14ac:dyDescent="0.3">
      <c r="A286" t="s">
        <v>353</v>
      </c>
      <c r="B286">
        <v>260</v>
      </c>
      <c r="C286">
        <v>36</v>
      </c>
      <c r="D286" s="1">
        <v>46039.730555555558</v>
      </c>
      <c r="E286">
        <v>1499</v>
      </c>
      <c r="F286" t="s">
        <v>66</v>
      </c>
      <c r="G286" t="s">
        <v>64</v>
      </c>
      <c r="H286">
        <v>2</v>
      </c>
      <c r="I286" t="str">
        <f>IFERROR(VLOOKUP(C286,Merchants!$A$2:$D$41,2,FALSE),"Merchant not found")</f>
        <v>Merchant_036</v>
      </c>
      <c r="J286" t="str">
        <f>IFERROR(VLOOKUP(C286,Merchants!$A$2:$D$41,3,FALSE),"Merchant not found")</f>
        <v>entertainment</v>
      </c>
      <c r="K286" t="str">
        <f>IFERROR(VLOOKUP(C286,Merchants!$A$2:$D$41,4,FALSE),"Merchant not found")</f>
        <v>East</v>
      </c>
      <c r="L286" s="2">
        <f>HLOOKUP(F286,Fee_lookup!$A$2:$E$3,2,FALSE)</f>
        <v>2.0000000000000001E-4</v>
      </c>
      <c r="M286" s="6">
        <f t="shared" si="12"/>
        <v>46039</v>
      </c>
      <c r="N286">
        <f t="shared" si="13"/>
        <v>1499</v>
      </c>
      <c r="O286" t="str">
        <f t="shared" si="14"/>
        <v>Normal Merchant Day</v>
      </c>
    </row>
    <row r="287" spans="1:15" x14ac:dyDescent="0.3">
      <c r="A287" t="s">
        <v>354</v>
      </c>
      <c r="B287">
        <v>326</v>
      </c>
      <c r="C287">
        <v>25</v>
      </c>
      <c r="D287" s="1">
        <v>46035.626388888886</v>
      </c>
      <c r="E287">
        <v>49</v>
      </c>
      <c r="F287" t="s">
        <v>66</v>
      </c>
      <c r="G287" t="s">
        <v>64</v>
      </c>
      <c r="H287">
        <v>47</v>
      </c>
      <c r="I287" t="str">
        <f>IFERROR(VLOOKUP(C287,Merchants!$A$2:$D$41,2,FALSE),"Merchant not found")</f>
        <v>Merchant_025</v>
      </c>
      <c r="J287" t="str">
        <f>IFERROR(VLOOKUP(C287,Merchants!$A$2:$D$41,3,FALSE),"Merchant not found")</f>
        <v>travel</v>
      </c>
      <c r="K287" t="str">
        <f>IFERROR(VLOOKUP(C287,Merchants!$A$2:$D$41,4,FALSE),"Merchant not found")</f>
        <v>South</v>
      </c>
      <c r="L287" s="2">
        <f>HLOOKUP(F287,Fee_lookup!$A$2:$E$3,2,FALSE)</f>
        <v>2.0000000000000001E-4</v>
      </c>
      <c r="M287" s="6">
        <f t="shared" si="12"/>
        <v>46035</v>
      </c>
      <c r="N287">
        <f t="shared" si="13"/>
        <v>49</v>
      </c>
      <c r="O287" t="str">
        <f t="shared" si="14"/>
        <v>Normal Merchant Day</v>
      </c>
    </row>
    <row r="288" spans="1:15" x14ac:dyDescent="0.3">
      <c r="A288" t="s">
        <v>355</v>
      </c>
      <c r="B288">
        <v>183</v>
      </c>
      <c r="C288">
        <v>5</v>
      </c>
      <c r="D288" s="1">
        <v>46031.959027777775</v>
      </c>
      <c r="E288">
        <v>49</v>
      </c>
      <c r="F288" t="s">
        <v>78</v>
      </c>
      <c r="G288" t="s">
        <v>64</v>
      </c>
      <c r="H288">
        <v>44</v>
      </c>
      <c r="I288" t="str">
        <f>IFERROR(VLOOKUP(C288,Merchants!$A$2:$D$41,2,FALSE),"Merchant not found")</f>
        <v>Merchant_005</v>
      </c>
      <c r="J288" t="str">
        <f>IFERROR(VLOOKUP(C288,Merchants!$A$2:$D$41,3,FALSE),"Merchant not found")</f>
        <v>recharge</v>
      </c>
      <c r="K288" t="str">
        <f>IFERROR(VLOOKUP(C288,Merchants!$A$2:$D$41,4,FALSE),"Merchant not found")</f>
        <v>South</v>
      </c>
      <c r="L288" s="2">
        <f>HLOOKUP(F288,Fee_lookup!$A$2:$E$3,2,FALSE)</f>
        <v>1.4999999999999999E-2</v>
      </c>
      <c r="M288" s="6">
        <f t="shared" si="12"/>
        <v>46031</v>
      </c>
      <c r="N288">
        <f t="shared" si="13"/>
        <v>348</v>
      </c>
      <c r="O288" t="str">
        <f t="shared" si="14"/>
        <v>Normal Merchant Day</v>
      </c>
    </row>
    <row r="289" spans="1:15" x14ac:dyDescent="0.3">
      <c r="A289" t="s">
        <v>356</v>
      </c>
      <c r="B289">
        <v>322</v>
      </c>
      <c r="C289">
        <v>7</v>
      </c>
      <c r="D289" s="1">
        <v>46030.987500000003</v>
      </c>
      <c r="E289">
        <v>299</v>
      </c>
      <c r="F289" t="s">
        <v>66</v>
      </c>
      <c r="G289" t="s">
        <v>64</v>
      </c>
      <c r="H289">
        <v>98</v>
      </c>
      <c r="I289" t="str">
        <f>IFERROR(VLOOKUP(C289,Merchants!$A$2:$D$41,2,FALSE),"Merchant not found")</f>
        <v>Merchant_007</v>
      </c>
      <c r="J289" t="str">
        <f>IFERROR(VLOOKUP(C289,Merchants!$A$2:$D$41,3,FALSE),"Merchant not found")</f>
        <v>food_delivery</v>
      </c>
      <c r="K289" t="str">
        <f>IFERROR(VLOOKUP(C289,Merchants!$A$2:$D$41,4,FALSE),"Merchant not found")</f>
        <v>East</v>
      </c>
      <c r="L289" s="2">
        <f>HLOOKUP(F289,Fee_lookup!$A$2:$E$3,2,FALSE)</f>
        <v>2.0000000000000001E-4</v>
      </c>
      <c r="M289" s="6">
        <f t="shared" si="12"/>
        <v>46030</v>
      </c>
      <c r="N289">
        <f t="shared" si="13"/>
        <v>299</v>
      </c>
      <c r="O289" t="str">
        <f t="shared" si="14"/>
        <v>Normal Merchant Day</v>
      </c>
    </row>
    <row r="290" spans="1:15" x14ac:dyDescent="0.3">
      <c r="A290" t="s">
        <v>357</v>
      </c>
      <c r="B290">
        <v>171</v>
      </c>
      <c r="C290">
        <v>9</v>
      </c>
      <c r="D290" s="1">
        <v>46041.991666666669</v>
      </c>
      <c r="E290">
        <v>299</v>
      </c>
      <c r="F290" t="s">
        <v>66</v>
      </c>
      <c r="G290" t="s">
        <v>64</v>
      </c>
      <c r="H290">
        <v>5</v>
      </c>
      <c r="I290" t="str">
        <f>IFERROR(VLOOKUP(C290,Merchants!$A$2:$D$41,2,FALSE),"Merchant not found")</f>
        <v>Merchant_009</v>
      </c>
      <c r="J290" t="str">
        <f>IFERROR(VLOOKUP(C290,Merchants!$A$2:$D$41,3,FALSE),"Merchant not found")</f>
        <v>ecommerce</v>
      </c>
      <c r="K290" t="str">
        <f>IFERROR(VLOOKUP(C290,Merchants!$A$2:$D$41,4,FALSE),"Merchant not found")</f>
        <v>North</v>
      </c>
      <c r="L290" s="2">
        <f>HLOOKUP(F290,Fee_lookup!$A$2:$E$3,2,FALSE)</f>
        <v>2.0000000000000001E-4</v>
      </c>
      <c r="M290" s="6">
        <f t="shared" si="12"/>
        <v>46041</v>
      </c>
      <c r="N290">
        <f t="shared" si="13"/>
        <v>299</v>
      </c>
      <c r="O290" t="str">
        <f t="shared" si="14"/>
        <v>Normal Merchant Day</v>
      </c>
    </row>
    <row r="291" spans="1:15" x14ac:dyDescent="0.3">
      <c r="A291" t="s">
        <v>358</v>
      </c>
      <c r="B291">
        <v>330</v>
      </c>
      <c r="C291">
        <v>12</v>
      </c>
      <c r="D291" s="1">
        <v>46034.722916666666</v>
      </c>
      <c r="E291">
        <v>1499</v>
      </c>
      <c r="F291" t="s">
        <v>69</v>
      </c>
      <c r="G291" t="s">
        <v>64</v>
      </c>
      <c r="H291">
        <v>99</v>
      </c>
      <c r="I291" t="str">
        <f>IFERROR(VLOOKUP(C291,Merchants!$A$2:$D$41,2,FALSE),"Merchant not found")</f>
        <v>Merchant_012</v>
      </c>
      <c r="J291" t="str">
        <f>IFERROR(VLOOKUP(C291,Merchants!$A$2:$D$41,3,FALSE),"Merchant not found")</f>
        <v>ecommerce</v>
      </c>
      <c r="K291" t="str">
        <f>IFERROR(VLOOKUP(C291,Merchants!$A$2:$D$41,4,FALSE),"Merchant not found")</f>
        <v>East</v>
      </c>
      <c r="L291" s="2">
        <f>HLOOKUP(F291,Fee_lookup!$A$2:$E$3,2,FALSE)</f>
        <v>0.01</v>
      </c>
      <c r="M291" s="6">
        <f t="shared" si="12"/>
        <v>46034</v>
      </c>
      <c r="N291">
        <f t="shared" si="13"/>
        <v>1998</v>
      </c>
      <c r="O291" t="str">
        <f t="shared" si="14"/>
        <v>Normal Merchant Day</v>
      </c>
    </row>
    <row r="292" spans="1:15" x14ac:dyDescent="0.3">
      <c r="A292" t="s">
        <v>359</v>
      </c>
      <c r="B292">
        <v>246</v>
      </c>
      <c r="C292">
        <v>12</v>
      </c>
      <c r="D292" s="1">
        <v>46044.613888888889</v>
      </c>
      <c r="E292">
        <v>99</v>
      </c>
      <c r="F292" t="s">
        <v>63</v>
      </c>
      <c r="G292" t="s">
        <v>64</v>
      </c>
      <c r="H292">
        <v>17</v>
      </c>
      <c r="I292" t="str">
        <f>IFERROR(VLOOKUP(C292,Merchants!$A$2:$D$41,2,FALSE),"Merchant not found")</f>
        <v>Merchant_012</v>
      </c>
      <c r="J292" t="str">
        <f>IFERROR(VLOOKUP(C292,Merchants!$A$2:$D$41,3,FALSE),"Merchant not found")</f>
        <v>ecommerce</v>
      </c>
      <c r="K292" t="str">
        <f>IFERROR(VLOOKUP(C292,Merchants!$A$2:$D$41,4,FALSE),"Merchant not found")</f>
        <v>East</v>
      </c>
      <c r="L292" s="2">
        <f>HLOOKUP(F292,Fee_lookup!$A$2:$E$3,2,FALSE)</f>
        <v>5.0000000000000001E-4</v>
      </c>
      <c r="M292" s="6">
        <f t="shared" si="12"/>
        <v>46044</v>
      </c>
      <c r="N292">
        <f t="shared" si="13"/>
        <v>99</v>
      </c>
      <c r="O292" t="str">
        <f t="shared" si="14"/>
        <v>Normal Merchant Day</v>
      </c>
    </row>
    <row r="293" spans="1:15" x14ac:dyDescent="0.3">
      <c r="A293" t="s">
        <v>360</v>
      </c>
      <c r="B293">
        <v>235</v>
      </c>
      <c r="C293">
        <v>3</v>
      </c>
      <c r="D293" s="1">
        <v>46025.950694444444</v>
      </c>
      <c r="E293">
        <v>49</v>
      </c>
      <c r="F293" t="s">
        <v>66</v>
      </c>
      <c r="G293" t="s">
        <v>64</v>
      </c>
      <c r="H293">
        <v>37</v>
      </c>
      <c r="I293" t="str">
        <f>IFERROR(VLOOKUP(C293,Merchants!$A$2:$D$41,2,FALSE),"Merchant not found")</f>
        <v>Merchant_003</v>
      </c>
      <c r="J293" t="str">
        <f>IFERROR(VLOOKUP(C293,Merchants!$A$2:$D$41,3,FALSE),"Merchant not found")</f>
        <v>grocery</v>
      </c>
      <c r="K293" t="str">
        <f>IFERROR(VLOOKUP(C293,Merchants!$A$2:$D$41,4,FALSE),"Merchant not found")</f>
        <v>East</v>
      </c>
      <c r="L293" s="2">
        <f>HLOOKUP(F293,Fee_lookup!$A$2:$E$3,2,FALSE)</f>
        <v>2.0000000000000001E-4</v>
      </c>
      <c r="M293" s="6">
        <f t="shared" si="12"/>
        <v>46025</v>
      </c>
      <c r="N293">
        <f t="shared" si="13"/>
        <v>198</v>
      </c>
      <c r="O293" t="str">
        <f t="shared" si="14"/>
        <v>Normal Merchant Day</v>
      </c>
    </row>
    <row r="294" spans="1:15" x14ac:dyDescent="0.3">
      <c r="A294" t="s">
        <v>361</v>
      </c>
      <c r="B294">
        <v>103</v>
      </c>
      <c r="C294">
        <v>3</v>
      </c>
      <c r="D294" s="1">
        <v>46029.076388888891</v>
      </c>
      <c r="E294">
        <v>499</v>
      </c>
      <c r="F294" t="s">
        <v>66</v>
      </c>
      <c r="G294" t="s">
        <v>64</v>
      </c>
      <c r="H294">
        <v>40</v>
      </c>
      <c r="I294" t="str">
        <f>IFERROR(VLOOKUP(C294,Merchants!$A$2:$D$41,2,FALSE),"Merchant not found")</f>
        <v>Merchant_003</v>
      </c>
      <c r="J294" t="str">
        <f>IFERROR(VLOOKUP(C294,Merchants!$A$2:$D$41,3,FALSE),"Merchant not found")</f>
        <v>grocery</v>
      </c>
      <c r="K294" t="str">
        <f>IFERROR(VLOOKUP(C294,Merchants!$A$2:$D$41,4,FALSE),"Merchant not found")</f>
        <v>East</v>
      </c>
      <c r="L294" s="2">
        <f>HLOOKUP(F294,Fee_lookup!$A$2:$E$3,2,FALSE)</f>
        <v>2.0000000000000001E-4</v>
      </c>
      <c r="M294" s="6">
        <f t="shared" si="12"/>
        <v>46029</v>
      </c>
      <c r="N294">
        <f t="shared" si="13"/>
        <v>798</v>
      </c>
      <c r="O294" t="str">
        <f t="shared" si="14"/>
        <v>Normal Merchant Day</v>
      </c>
    </row>
    <row r="295" spans="1:15" x14ac:dyDescent="0.3">
      <c r="A295" t="s">
        <v>362</v>
      </c>
      <c r="B295">
        <v>204</v>
      </c>
      <c r="C295">
        <v>35</v>
      </c>
      <c r="D295" s="1">
        <v>46052.397222222222</v>
      </c>
      <c r="E295">
        <v>99</v>
      </c>
      <c r="F295" t="s">
        <v>63</v>
      </c>
      <c r="G295" t="s">
        <v>64</v>
      </c>
      <c r="H295">
        <v>60</v>
      </c>
      <c r="I295" t="str">
        <f>IFERROR(VLOOKUP(C295,Merchants!$A$2:$D$41,2,FALSE),"Merchant not found")</f>
        <v>Merchant_035</v>
      </c>
      <c r="J295" t="str">
        <f>IFERROR(VLOOKUP(C295,Merchants!$A$2:$D$41,3,FALSE),"Merchant not found")</f>
        <v>recharge</v>
      </c>
      <c r="K295" t="str">
        <f>IFERROR(VLOOKUP(C295,Merchants!$A$2:$D$41,4,FALSE),"Merchant not found")</f>
        <v>East</v>
      </c>
      <c r="L295" s="2">
        <f>HLOOKUP(F295,Fee_lookup!$A$2:$E$3,2,FALSE)</f>
        <v>5.0000000000000001E-4</v>
      </c>
      <c r="M295" s="6">
        <f t="shared" si="12"/>
        <v>46052</v>
      </c>
      <c r="N295">
        <f t="shared" si="13"/>
        <v>99</v>
      </c>
      <c r="O295" t="str">
        <f t="shared" si="14"/>
        <v>Normal Merchant Day</v>
      </c>
    </row>
    <row r="296" spans="1:15" x14ac:dyDescent="0.3">
      <c r="A296" t="s">
        <v>363</v>
      </c>
      <c r="B296">
        <v>332</v>
      </c>
      <c r="C296">
        <v>13</v>
      </c>
      <c r="D296" s="1">
        <v>46031.074999999997</v>
      </c>
      <c r="E296">
        <v>49</v>
      </c>
      <c r="F296" t="s">
        <v>78</v>
      </c>
      <c r="G296" t="s">
        <v>64</v>
      </c>
      <c r="H296">
        <v>36</v>
      </c>
      <c r="I296" t="str">
        <f>IFERROR(VLOOKUP(C296,Merchants!$A$2:$D$41,2,FALSE),"Merchant not found")</f>
        <v>Merchant_013</v>
      </c>
      <c r="J296" t="str">
        <f>IFERROR(VLOOKUP(C296,Merchants!$A$2:$D$41,3,FALSE),"Merchant not found")</f>
        <v>travel</v>
      </c>
      <c r="K296" t="str">
        <f>IFERROR(VLOOKUP(C296,Merchants!$A$2:$D$41,4,FALSE),"Merchant not found")</f>
        <v>East</v>
      </c>
      <c r="L296" s="2">
        <f>HLOOKUP(F296,Fee_lookup!$A$2:$E$3,2,FALSE)</f>
        <v>1.4999999999999999E-2</v>
      </c>
      <c r="M296" s="6">
        <f t="shared" si="12"/>
        <v>46031</v>
      </c>
      <c r="N296">
        <f t="shared" si="13"/>
        <v>198</v>
      </c>
      <c r="O296" t="str">
        <f t="shared" si="14"/>
        <v>Normal Merchant Day</v>
      </c>
    </row>
    <row r="297" spans="1:15" x14ac:dyDescent="0.3">
      <c r="A297" t="s">
        <v>364</v>
      </c>
      <c r="B297">
        <v>336</v>
      </c>
      <c r="C297">
        <v>22</v>
      </c>
      <c r="D297" s="1">
        <v>46034.079861111109</v>
      </c>
      <c r="E297">
        <v>499</v>
      </c>
      <c r="F297" t="s">
        <v>66</v>
      </c>
      <c r="G297" t="s">
        <v>64</v>
      </c>
      <c r="H297">
        <v>34</v>
      </c>
      <c r="I297" t="str">
        <f>IFERROR(VLOOKUP(C297,Merchants!$A$2:$D$41,2,FALSE),"Merchant not found")</f>
        <v>Merchant_022</v>
      </c>
      <c r="J297" t="str">
        <f>IFERROR(VLOOKUP(C297,Merchants!$A$2:$D$41,3,FALSE),"Merchant not found")</f>
        <v>travel</v>
      </c>
      <c r="K297" t="str">
        <f>IFERROR(VLOOKUP(C297,Merchants!$A$2:$D$41,4,FALSE),"Merchant not found")</f>
        <v>South</v>
      </c>
      <c r="L297" s="2">
        <f>HLOOKUP(F297,Fee_lookup!$A$2:$E$3,2,FALSE)</f>
        <v>2.0000000000000001E-4</v>
      </c>
      <c r="M297" s="6">
        <f t="shared" si="12"/>
        <v>46034</v>
      </c>
      <c r="N297">
        <f t="shared" si="13"/>
        <v>1697</v>
      </c>
      <c r="O297" t="str">
        <f t="shared" si="14"/>
        <v>Normal Merchant Day</v>
      </c>
    </row>
    <row r="298" spans="1:15" x14ac:dyDescent="0.3">
      <c r="A298" t="s">
        <v>365</v>
      </c>
      <c r="B298">
        <v>205</v>
      </c>
      <c r="C298">
        <v>29</v>
      </c>
      <c r="D298" s="1">
        <v>46026.477083333331</v>
      </c>
      <c r="E298">
        <v>99</v>
      </c>
      <c r="F298" t="s">
        <v>63</v>
      </c>
      <c r="G298" t="s">
        <v>64</v>
      </c>
      <c r="H298">
        <v>49</v>
      </c>
      <c r="I298" t="str">
        <f>IFERROR(VLOOKUP(C298,Merchants!$A$2:$D$41,2,FALSE),"Merchant not found")</f>
        <v>Merchant_029</v>
      </c>
      <c r="J298" t="str">
        <f>IFERROR(VLOOKUP(C298,Merchants!$A$2:$D$41,3,FALSE),"Merchant not found")</f>
        <v>ecommerce</v>
      </c>
      <c r="K298" t="str">
        <f>IFERROR(VLOOKUP(C298,Merchants!$A$2:$D$41,4,FALSE),"Merchant not found")</f>
        <v>North</v>
      </c>
      <c r="L298" s="2">
        <f>HLOOKUP(F298,Fee_lookup!$A$2:$E$3,2,FALSE)</f>
        <v>5.0000000000000001E-4</v>
      </c>
      <c r="M298" s="6">
        <f t="shared" si="12"/>
        <v>46026</v>
      </c>
      <c r="N298">
        <f t="shared" si="13"/>
        <v>99</v>
      </c>
      <c r="O298" t="str">
        <f t="shared" si="14"/>
        <v>Normal Merchant Day</v>
      </c>
    </row>
    <row r="299" spans="1:15" x14ac:dyDescent="0.3">
      <c r="A299" t="s">
        <v>366</v>
      </c>
      <c r="B299">
        <v>255</v>
      </c>
      <c r="C299">
        <v>24</v>
      </c>
      <c r="D299" s="1">
        <v>46033.229861111111</v>
      </c>
      <c r="E299">
        <v>799</v>
      </c>
      <c r="F299" t="s">
        <v>66</v>
      </c>
      <c r="G299" t="s">
        <v>64</v>
      </c>
      <c r="H299">
        <v>66</v>
      </c>
      <c r="I299" t="str">
        <f>IFERROR(VLOOKUP(C299,Merchants!$A$2:$D$41,2,FALSE),"Merchant not found")</f>
        <v>Merchant_024</v>
      </c>
      <c r="J299" t="str">
        <f>IFERROR(VLOOKUP(C299,Merchants!$A$2:$D$41,3,FALSE),"Merchant not found")</f>
        <v>grocery</v>
      </c>
      <c r="K299" t="str">
        <f>IFERROR(VLOOKUP(C299,Merchants!$A$2:$D$41,4,FALSE),"Merchant not found")</f>
        <v>North</v>
      </c>
      <c r="L299" s="2">
        <f>HLOOKUP(F299,Fee_lookup!$A$2:$E$3,2,FALSE)</f>
        <v>2.0000000000000001E-4</v>
      </c>
      <c r="M299" s="6">
        <f t="shared" si="12"/>
        <v>46033</v>
      </c>
      <c r="N299">
        <f t="shared" si="13"/>
        <v>799</v>
      </c>
      <c r="O299" t="str">
        <f t="shared" si="14"/>
        <v>Normal Merchant Day</v>
      </c>
    </row>
    <row r="300" spans="1:15" x14ac:dyDescent="0.3">
      <c r="A300" t="s">
        <v>367</v>
      </c>
      <c r="B300">
        <v>218</v>
      </c>
      <c r="C300">
        <v>6</v>
      </c>
      <c r="D300" s="1">
        <v>46031.115277777775</v>
      </c>
      <c r="E300">
        <v>99</v>
      </c>
      <c r="F300" t="s">
        <v>66</v>
      </c>
      <c r="G300" t="s">
        <v>64</v>
      </c>
      <c r="H300">
        <v>55</v>
      </c>
      <c r="I300" t="str">
        <f>IFERROR(VLOOKUP(C300,Merchants!$A$2:$D$41,2,FALSE),"Merchant not found")</f>
        <v>Merchant_006</v>
      </c>
      <c r="J300" t="str">
        <f>IFERROR(VLOOKUP(C300,Merchants!$A$2:$D$41,3,FALSE),"Merchant not found")</f>
        <v>food_delivery</v>
      </c>
      <c r="K300" t="str">
        <f>IFERROR(VLOOKUP(C300,Merchants!$A$2:$D$41,4,FALSE),"Merchant not found")</f>
        <v>South</v>
      </c>
      <c r="L300" s="2">
        <f>HLOOKUP(F300,Fee_lookup!$A$2:$E$3,2,FALSE)</f>
        <v>2.0000000000000001E-4</v>
      </c>
      <c r="M300" s="6">
        <f t="shared" si="12"/>
        <v>46031</v>
      </c>
      <c r="N300">
        <f t="shared" si="13"/>
        <v>99</v>
      </c>
      <c r="O300" t="str">
        <f t="shared" si="14"/>
        <v>Normal Merchant Day</v>
      </c>
    </row>
    <row r="301" spans="1:15" x14ac:dyDescent="0.3">
      <c r="A301" t="s">
        <v>368</v>
      </c>
      <c r="B301">
        <v>151</v>
      </c>
      <c r="C301">
        <v>21</v>
      </c>
      <c r="D301" s="1">
        <v>46042.231944444444</v>
      </c>
      <c r="E301">
        <v>49</v>
      </c>
      <c r="F301" t="s">
        <v>66</v>
      </c>
      <c r="G301" t="s">
        <v>64</v>
      </c>
      <c r="H301">
        <v>13</v>
      </c>
      <c r="I301" t="str">
        <f>IFERROR(VLOOKUP(C301,Merchants!$A$2:$D$41,2,FALSE),"Merchant not found")</f>
        <v>Merchant_021</v>
      </c>
      <c r="J301" t="str">
        <f>IFERROR(VLOOKUP(C301,Merchants!$A$2:$D$41,3,FALSE),"Merchant not found")</f>
        <v>food_delivery</v>
      </c>
      <c r="K301" t="str">
        <f>IFERROR(VLOOKUP(C301,Merchants!$A$2:$D$41,4,FALSE),"Merchant not found")</f>
        <v>East</v>
      </c>
      <c r="L301" s="2">
        <f>HLOOKUP(F301,Fee_lookup!$A$2:$E$3,2,FALSE)</f>
        <v>2.0000000000000001E-4</v>
      </c>
      <c r="M301" s="6">
        <f t="shared" si="12"/>
        <v>46042</v>
      </c>
      <c r="N301">
        <f t="shared" si="13"/>
        <v>49</v>
      </c>
      <c r="O301" t="str">
        <f t="shared" si="14"/>
        <v>Normal Merchant Day</v>
      </c>
    </row>
    <row r="302" spans="1:15" x14ac:dyDescent="0.3">
      <c r="A302" t="s">
        <v>369</v>
      </c>
      <c r="B302">
        <v>152</v>
      </c>
      <c r="C302">
        <v>20</v>
      </c>
      <c r="D302" s="1">
        <v>46025.445833333331</v>
      </c>
      <c r="E302">
        <v>49</v>
      </c>
      <c r="F302" t="s">
        <v>66</v>
      </c>
      <c r="G302" t="s">
        <v>64</v>
      </c>
      <c r="H302">
        <v>57</v>
      </c>
      <c r="I302" t="str">
        <f>IFERROR(VLOOKUP(C302,Merchants!$A$2:$D$41,2,FALSE),"Merchant not found")</f>
        <v>Merchant_020</v>
      </c>
      <c r="J302" t="str">
        <f>IFERROR(VLOOKUP(C302,Merchants!$A$2:$D$41,3,FALSE),"Merchant not found")</f>
        <v>food_delivery</v>
      </c>
      <c r="K302" t="str">
        <f>IFERROR(VLOOKUP(C302,Merchants!$A$2:$D$41,4,FALSE),"Merchant not found")</f>
        <v>East</v>
      </c>
      <c r="L302" s="2">
        <f>HLOOKUP(F302,Fee_lookup!$A$2:$E$3,2,FALSE)</f>
        <v>2.0000000000000001E-4</v>
      </c>
      <c r="M302" s="6">
        <f t="shared" si="12"/>
        <v>46025</v>
      </c>
      <c r="N302">
        <f t="shared" si="13"/>
        <v>348</v>
      </c>
      <c r="O302" t="str">
        <f t="shared" si="14"/>
        <v>Normal Merchant Day</v>
      </c>
    </row>
    <row r="303" spans="1:15" x14ac:dyDescent="0.3">
      <c r="A303" t="s">
        <v>370</v>
      </c>
      <c r="B303">
        <v>86</v>
      </c>
      <c r="C303">
        <v>29</v>
      </c>
      <c r="D303" s="1">
        <v>46042.935416666667</v>
      </c>
      <c r="E303">
        <v>149</v>
      </c>
      <c r="F303" t="s">
        <v>78</v>
      </c>
      <c r="G303" t="s">
        <v>64</v>
      </c>
      <c r="H303">
        <v>44</v>
      </c>
      <c r="I303" t="str">
        <f>IFERROR(VLOOKUP(C303,Merchants!$A$2:$D$41,2,FALSE),"Merchant not found")</f>
        <v>Merchant_029</v>
      </c>
      <c r="J303" t="str">
        <f>IFERROR(VLOOKUP(C303,Merchants!$A$2:$D$41,3,FALSE),"Merchant not found")</f>
        <v>ecommerce</v>
      </c>
      <c r="K303" t="str">
        <f>IFERROR(VLOOKUP(C303,Merchants!$A$2:$D$41,4,FALSE),"Merchant not found")</f>
        <v>North</v>
      </c>
      <c r="L303" s="2">
        <f>HLOOKUP(F303,Fee_lookup!$A$2:$E$3,2,FALSE)</f>
        <v>1.4999999999999999E-2</v>
      </c>
      <c r="M303" s="6">
        <f t="shared" si="12"/>
        <v>46042</v>
      </c>
      <c r="N303">
        <f t="shared" si="13"/>
        <v>149</v>
      </c>
      <c r="O303" t="str">
        <f t="shared" si="14"/>
        <v>Normal Merchant Day</v>
      </c>
    </row>
    <row r="304" spans="1:15" x14ac:dyDescent="0.3">
      <c r="A304" t="s">
        <v>371</v>
      </c>
      <c r="B304">
        <v>181</v>
      </c>
      <c r="C304">
        <v>40</v>
      </c>
      <c r="D304" s="1">
        <v>46037.073611111111</v>
      </c>
      <c r="E304">
        <v>149</v>
      </c>
      <c r="F304" t="s">
        <v>66</v>
      </c>
      <c r="G304" t="s">
        <v>64</v>
      </c>
      <c r="H304">
        <v>55</v>
      </c>
      <c r="I304" t="str">
        <f>IFERROR(VLOOKUP(C304,Merchants!$A$2:$D$41,2,FALSE),"Merchant not found")</f>
        <v>Merchant_040</v>
      </c>
      <c r="J304" t="str">
        <f>IFERROR(VLOOKUP(C304,Merchants!$A$2:$D$41,3,FALSE),"Merchant not found")</f>
        <v>entertainment</v>
      </c>
      <c r="K304" t="str">
        <f>IFERROR(VLOOKUP(C304,Merchants!$A$2:$D$41,4,FALSE),"Merchant not found")</f>
        <v>South</v>
      </c>
      <c r="L304" s="2">
        <f>HLOOKUP(F304,Fee_lookup!$A$2:$E$3,2,FALSE)</f>
        <v>2.0000000000000001E-4</v>
      </c>
      <c r="M304" s="6">
        <f t="shared" si="12"/>
        <v>46037</v>
      </c>
      <c r="N304">
        <f t="shared" si="13"/>
        <v>149</v>
      </c>
      <c r="O304" t="str">
        <f t="shared" si="14"/>
        <v>Normal Merchant Day</v>
      </c>
    </row>
    <row r="305" spans="1:15" x14ac:dyDescent="0.3">
      <c r="A305" t="s">
        <v>372</v>
      </c>
      <c r="B305">
        <v>30</v>
      </c>
      <c r="C305">
        <v>5</v>
      </c>
      <c r="D305" s="1">
        <v>46031.868055555555</v>
      </c>
      <c r="E305">
        <v>299</v>
      </c>
      <c r="F305" t="s">
        <v>66</v>
      </c>
      <c r="G305" t="s">
        <v>64</v>
      </c>
      <c r="H305">
        <v>85</v>
      </c>
      <c r="I305" t="str">
        <f>IFERROR(VLOOKUP(C305,Merchants!$A$2:$D$41,2,FALSE),"Merchant not found")</f>
        <v>Merchant_005</v>
      </c>
      <c r="J305" t="str">
        <f>IFERROR(VLOOKUP(C305,Merchants!$A$2:$D$41,3,FALSE),"Merchant not found")</f>
        <v>recharge</v>
      </c>
      <c r="K305" t="str">
        <f>IFERROR(VLOOKUP(C305,Merchants!$A$2:$D$41,4,FALSE),"Merchant not found")</f>
        <v>South</v>
      </c>
      <c r="L305" s="2">
        <f>HLOOKUP(F305,Fee_lookup!$A$2:$E$3,2,FALSE)</f>
        <v>2.0000000000000001E-4</v>
      </c>
      <c r="M305" s="6">
        <f t="shared" si="12"/>
        <v>46031</v>
      </c>
      <c r="N305">
        <f t="shared" si="13"/>
        <v>348</v>
      </c>
      <c r="O305" t="str">
        <f t="shared" si="14"/>
        <v>Normal Merchant Day</v>
      </c>
    </row>
    <row r="306" spans="1:15" x14ac:dyDescent="0.3">
      <c r="A306" t="s">
        <v>373</v>
      </c>
      <c r="B306">
        <v>263</v>
      </c>
      <c r="C306">
        <v>11</v>
      </c>
      <c r="D306" s="1">
        <v>46043.515972222223</v>
      </c>
      <c r="E306">
        <v>149</v>
      </c>
      <c r="F306" t="s">
        <v>63</v>
      </c>
      <c r="G306" t="s">
        <v>64</v>
      </c>
      <c r="H306">
        <v>3</v>
      </c>
      <c r="I306" t="str">
        <f>IFERROR(VLOOKUP(C306,Merchants!$A$2:$D$41,2,FALSE),"Merchant not found")</f>
        <v>Merchant_011</v>
      </c>
      <c r="J306" t="str">
        <f>IFERROR(VLOOKUP(C306,Merchants!$A$2:$D$41,3,FALSE),"Merchant not found")</f>
        <v>ecommerce</v>
      </c>
      <c r="K306" t="str">
        <f>IFERROR(VLOOKUP(C306,Merchants!$A$2:$D$41,4,FALSE),"Merchant not found")</f>
        <v>North</v>
      </c>
      <c r="L306" s="2">
        <f>HLOOKUP(F306,Fee_lookup!$A$2:$E$3,2,FALSE)</f>
        <v>5.0000000000000001E-4</v>
      </c>
      <c r="M306" s="6">
        <f t="shared" si="12"/>
        <v>46043</v>
      </c>
      <c r="N306">
        <f t="shared" si="13"/>
        <v>149</v>
      </c>
      <c r="O306" t="str">
        <f t="shared" si="14"/>
        <v>Normal Merchant Day</v>
      </c>
    </row>
    <row r="307" spans="1:15" x14ac:dyDescent="0.3">
      <c r="A307" t="s">
        <v>374</v>
      </c>
      <c r="B307">
        <v>225</v>
      </c>
      <c r="C307">
        <v>3</v>
      </c>
      <c r="D307" s="1">
        <v>46027.821527777778</v>
      </c>
      <c r="E307">
        <v>99</v>
      </c>
      <c r="F307" t="s">
        <v>69</v>
      </c>
      <c r="G307" t="s">
        <v>64</v>
      </c>
      <c r="H307">
        <v>16</v>
      </c>
      <c r="I307" t="str">
        <f>IFERROR(VLOOKUP(C307,Merchants!$A$2:$D$41,2,FALSE),"Merchant not found")</f>
        <v>Merchant_003</v>
      </c>
      <c r="J307" t="str">
        <f>IFERROR(VLOOKUP(C307,Merchants!$A$2:$D$41,3,FALSE),"Merchant not found")</f>
        <v>grocery</v>
      </c>
      <c r="K307" t="str">
        <f>IFERROR(VLOOKUP(C307,Merchants!$A$2:$D$41,4,FALSE),"Merchant not found")</f>
        <v>East</v>
      </c>
      <c r="L307" s="2">
        <f>HLOOKUP(F307,Fee_lookup!$A$2:$E$3,2,FALSE)</f>
        <v>0.01</v>
      </c>
      <c r="M307" s="6">
        <f t="shared" si="12"/>
        <v>46027</v>
      </c>
      <c r="N307">
        <f t="shared" si="13"/>
        <v>99</v>
      </c>
      <c r="O307" t="str">
        <f t="shared" si="14"/>
        <v>Normal Merchant Day</v>
      </c>
    </row>
    <row r="308" spans="1:15" x14ac:dyDescent="0.3">
      <c r="A308" t="s">
        <v>375</v>
      </c>
      <c r="B308">
        <v>331</v>
      </c>
      <c r="C308">
        <v>24</v>
      </c>
      <c r="D308" s="1">
        <v>46025.325694444444</v>
      </c>
      <c r="E308">
        <v>49</v>
      </c>
      <c r="F308" t="s">
        <v>78</v>
      </c>
      <c r="G308" t="s">
        <v>64</v>
      </c>
      <c r="H308">
        <v>46</v>
      </c>
      <c r="I308" t="str">
        <f>IFERROR(VLOOKUP(C308,Merchants!$A$2:$D$41,2,FALSE),"Merchant not found")</f>
        <v>Merchant_024</v>
      </c>
      <c r="J308" t="str">
        <f>IFERROR(VLOOKUP(C308,Merchants!$A$2:$D$41,3,FALSE),"Merchant not found")</f>
        <v>grocery</v>
      </c>
      <c r="K308" t="str">
        <f>IFERROR(VLOOKUP(C308,Merchants!$A$2:$D$41,4,FALSE),"Merchant not found")</f>
        <v>North</v>
      </c>
      <c r="L308" s="2">
        <f>HLOOKUP(F308,Fee_lookup!$A$2:$E$3,2,FALSE)</f>
        <v>1.4999999999999999E-2</v>
      </c>
      <c r="M308" s="6">
        <f t="shared" si="12"/>
        <v>46025</v>
      </c>
      <c r="N308">
        <f t="shared" si="13"/>
        <v>49</v>
      </c>
      <c r="O308" t="str">
        <f t="shared" si="14"/>
        <v>Normal Merchant Day</v>
      </c>
    </row>
    <row r="309" spans="1:15" x14ac:dyDescent="0.3">
      <c r="A309" t="s">
        <v>376</v>
      </c>
      <c r="B309">
        <v>310</v>
      </c>
      <c r="C309">
        <v>10</v>
      </c>
      <c r="D309" s="1">
        <v>46035.751388888886</v>
      </c>
      <c r="E309">
        <v>1499</v>
      </c>
      <c r="F309" t="s">
        <v>78</v>
      </c>
      <c r="G309" t="s">
        <v>64</v>
      </c>
      <c r="H309">
        <v>86</v>
      </c>
      <c r="I309" t="str">
        <f>IFERROR(VLOOKUP(C309,Merchants!$A$2:$D$41,2,FALSE),"Merchant not found")</f>
        <v>Merchant_010</v>
      </c>
      <c r="J309" t="str">
        <f>IFERROR(VLOOKUP(C309,Merchants!$A$2:$D$41,3,FALSE),"Merchant not found")</f>
        <v>grocery</v>
      </c>
      <c r="K309" t="str">
        <f>IFERROR(VLOOKUP(C309,Merchants!$A$2:$D$41,4,FALSE),"Merchant not found")</f>
        <v>West</v>
      </c>
      <c r="L309" s="2">
        <f>HLOOKUP(F309,Fee_lookup!$A$2:$E$3,2,FALSE)</f>
        <v>1.4999999999999999E-2</v>
      </c>
      <c r="M309" s="6">
        <f t="shared" si="12"/>
        <v>46035</v>
      </c>
      <c r="N309">
        <f t="shared" si="13"/>
        <v>1499</v>
      </c>
      <c r="O309" t="str">
        <f t="shared" si="14"/>
        <v>Normal Merchant Day</v>
      </c>
    </row>
    <row r="310" spans="1:15" x14ac:dyDescent="0.3">
      <c r="A310" t="s">
        <v>377</v>
      </c>
      <c r="B310">
        <v>228</v>
      </c>
      <c r="C310">
        <v>5</v>
      </c>
      <c r="D310" s="1">
        <v>46037.474305555559</v>
      </c>
      <c r="E310">
        <v>49</v>
      </c>
      <c r="F310" t="s">
        <v>66</v>
      </c>
      <c r="G310" t="s">
        <v>64</v>
      </c>
      <c r="H310">
        <v>73</v>
      </c>
      <c r="I310" t="str">
        <f>IFERROR(VLOOKUP(C310,Merchants!$A$2:$D$41,2,FALSE),"Merchant not found")</f>
        <v>Merchant_005</v>
      </c>
      <c r="J310" t="str">
        <f>IFERROR(VLOOKUP(C310,Merchants!$A$2:$D$41,3,FALSE),"Merchant not found")</f>
        <v>recharge</v>
      </c>
      <c r="K310" t="str">
        <f>IFERROR(VLOOKUP(C310,Merchants!$A$2:$D$41,4,FALSE),"Merchant not found")</f>
        <v>South</v>
      </c>
      <c r="L310" s="2">
        <f>HLOOKUP(F310,Fee_lookup!$A$2:$E$3,2,FALSE)</f>
        <v>2.0000000000000001E-4</v>
      </c>
      <c r="M310" s="6">
        <f t="shared" si="12"/>
        <v>46037</v>
      </c>
      <c r="N310">
        <f t="shared" si="13"/>
        <v>548</v>
      </c>
      <c r="O310" t="str">
        <f t="shared" si="14"/>
        <v>Normal Merchant Day</v>
      </c>
    </row>
    <row r="311" spans="1:15" x14ac:dyDescent="0.3">
      <c r="A311" t="s">
        <v>378</v>
      </c>
      <c r="B311">
        <v>204</v>
      </c>
      <c r="C311">
        <v>21</v>
      </c>
      <c r="D311" s="1">
        <v>46027.682638888888</v>
      </c>
      <c r="E311">
        <v>499</v>
      </c>
      <c r="F311" t="s">
        <v>66</v>
      </c>
      <c r="G311" t="s">
        <v>64</v>
      </c>
      <c r="H311">
        <v>83</v>
      </c>
      <c r="I311" t="str">
        <f>IFERROR(VLOOKUP(C311,Merchants!$A$2:$D$41,2,FALSE),"Merchant not found")</f>
        <v>Merchant_021</v>
      </c>
      <c r="J311" t="str">
        <f>IFERROR(VLOOKUP(C311,Merchants!$A$2:$D$41,3,FALSE),"Merchant not found")</f>
        <v>food_delivery</v>
      </c>
      <c r="K311" t="str">
        <f>IFERROR(VLOOKUP(C311,Merchants!$A$2:$D$41,4,FALSE),"Merchant not found")</f>
        <v>East</v>
      </c>
      <c r="L311" s="2">
        <f>HLOOKUP(F311,Fee_lookup!$A$2:$E$3,2,FALSE)</f>
        <v>2.0000000000000001E-4</v>
      </c>
      <c r="M311" s="6">
        <f t="shared" si="12"/>
        <v>46027</v>
      </c>
      <c r="N311">
        <f t="shared" si="13"/>
        <v>499</v>
      </c>
      <c r="O311" t="str">
        <f t="shared" si="14"/>
        <v>Normal Merchant Day</v>
      </c>
    </row>
    <row r="312" spans="1:15" x14ac:dyDescent="0.3">
      <c r="A312" t="s">
        <v>379</v>
      </c>
      <c r="B312">
        <v>14</v>
      </c>
      <c r="C312">
        <v>12</v>
      </c>
      <c r="D312" s="1">
        <v>46031.296527777777</v>
      </c>
      <c r="E312">
        <v>799</v>
      </c>
      <c r="F312" t="s">
        <v>69</v>
      </c>
      <c r="G312" t="s">
        <v>64</v>
      </c>
      <c r="H312">
        <v>63</v>
      </c>
      <c r="I312" t="str">
        <f>IFERROR(VLOOKUP(C312,Merchants!$A$2:$D$41,2,FALSE),"Merchant not found")</f>
        <v>Merchant_012</v>
      </c>
      <c r="J312" t="str">
        <f>IFERROR(VLOOKUP(C312,Merchants!$A$2:$D$41,3,FALSE),"Merchant not found")</f>
        <v>ecommerce</v>
      </c>
      <c r="K312" t="str">
        <f>IFERROR(VLOOKUP(C312,Merchants!$A$2:$D$41,4,FALSE),"Merchant not found")</f>
        <v>East</v>
      </c>
      <c r="L312" s="2">
        <f>HLOOKUP(F312,Fee_lookup!$A$2:$E$3,2,FALSE)</f>
        <v>0.01</v>
      </c>
      <c r="M312" s="6">
        <f t="shared" si="12"/>
        <v>46031</v>
      </c>
      <c r="N312">
        <f t="shared" si="13"/>
        <v>799</v>
      </c>
      <c r="O312" t="str">
        <f t="shared" si="14"/>
        <v>Normal Merchant Day</v>
      </c>
    </row>
    <row r="313" spans="1:15" x14ac:dyDescent="0.3">
      <c r="A313" t="s">
        <v>380</v>
      </c>
      <c r="B313">
        <v>288</v>
      </c>
      <c r="C313">
        <v>8</v>
      </c>
      <c r="D313" s="1">
        <v>46039.540277777778</v>
      </c>
      <c r="E313">
        <v>49</v>
      </c>
      <c r="F313" t="s">
        <v>66</v>
      </c>
      <c r="G313" t="s">
        <v>64</v>
      </c>
      <c r="H313">
        <v>33</v>
      </c>
      <c r="I313" t="str">
        <f>IFERROR(VLOOKUP(C313,Merchants!$A$2:$D$41,2,FALSE),"Merchant not found")</f>
        <v>Merchant_008</v>
      </c>
      <c r="J313" t="str">
        <f>IFERROR(VLOOKUP(C313,Merchants!$A$2:$D$41,3,FALSE),"Merchant not found")</f>
        <v>food_delivery</v>
      </c>
      <c r="K313" t="str">
        <f>IFERROR(VLOOKUP(C313,Merchants!$A$2:$D$41,4,FALSE),"Merchant not found")</f>
        <v>North</v>
      </c>
      <c r="L313" s="2">
        <f>HLOOKUP(F313,Fee_lookup!$A$2:$E$3,2,FALSE)</f>
        <v>2.0000000000000001E-4</v>
      </c>
      <c r="M313" s="6">
        <f t="shared" si="12"/>
        <v>46039</v>
      </c>
      <c r="N313">
        <f t="shared" si="13"/>
        <v>348</v>
      </c>
      <c r="O313" t="str">
        <f t="shared" si="14"/>
        <v>Normal Merchant Day</v>
      </c>
    </row>
    <row r="314" spans="1:15" x14ac:dyDescent="0.3">
      <c r="A314" t="s">
        <v>381</v>
      </c>
      <c r="B314">
        <v>229</v>
      </c>
      <c r="C314">
        <v>14</v>
      </c>
      <c r="D314" s="1">
        <v>46047.364583333336</v>
      </c>
      <c r="E314">
        <v>1499</v>
      </c>
      <c r="F314" t="s">
        <v>66</v>
      </c>
      <c r="G314" t="s">
        <v>64</v>
      </c>
      <c r="H314">
        <v>78</v>
      </c>
      <c r="I314" t="str">
        <f>IFERROR(VLOOKUP(C314,Merchants!$A$2:$D$41,2,FALSE),"Merchant not found")</f>
        <v>Merchant_014</v>
      </c>
      <c r="J314" t="str">
        <f>IFERROR(VLOOKUP(C314,Merchants!$A$2:$D$41,3,FALSE),"Merchant not found")</f>
        <v>grocery</v>
      </c>
      <c r="K314" t="str">
        <f>IFERROR(VLOOKUP(C314,Merchants!$A$2:$D$41,4,FALSE),"Merchant not found")</f>
        <v>East</v>
      </c>
      <c r="L314" s="2">
        <f>HLOOKUP(F314,Fee_lookup!$A$2:$E$3,2,FALSE)</f>
        <v>2.0000000000000001E-4</v>
      </c>
      <c r="M314" s="6">
        <f t="shared" si="12"/>
        <v>46047</v>
      </c>
      <c r="N314">
        <f t="shared" si="13"/>
        <v>1598</v>
      </c>
      <c r="O314" t="str">
        <f t="shared" si="14"/>
        <v>Normal Merchant Day</v>
      </c>
    </row>
    <row r="315" spans="1:15" x14ac:dyDescent="0.3">
      <c r="A315" t="s">
        <v>382</v>
      </c>
      <c r="B315">
        <v>252</v>
      </c>
      <c r="C315">
        <v>13</v>
      </c>
      <c r="D315" s="1">
        <v>46032.956944444442</v>
      </c>
      <c r="E315">
        <v>99</v>
      </c>
      <c r="F315" t="s">
        <v>63</v>
      </c>
      <c r="G315" t="s">
        <v>64</v>
      </c>
      <c r="H315">
        <v>15</v>
      </c>
      <c r="I315" t="str">
        <f>IFERROR(VLOOKUP(C315,Merchants!$A$2:$D$41,2,FALSE),"Merchant not found")</f>
        <v>Merchant_013</v>
      </c>
      <c r="J315" t="str">
        <f>IFERROR(VLOOKUP(C315,Merchants!$A$2:$D$41,3,FALSE),"Merchant not found")</f>
        <v>travel</v>
      </c>
      <c r="K315" t="str">
        <f>IFERROR(VLOOKUP(C315,Merchants!$A$2:$D$41,4,FALSE),"Merchant not found")</f>
        <v>East</v>
      </c>
      <c r="L315" s="2">
        <f>HLOOKUP(F315,Fee_lookup!$A$2:$E$3,2,FALSE)</f>
        <v>5.0000000000000001E-4</v>
      </c>
      <c r="M315" s="6">
        <f t="shared" si="12"/>
        <v>46032</v>
      </c>
      <c r="N315">
        <f t="shared" si="13"/>
        <v>99</v>
      </c>
      <c r="O315" t="str">
        <f t="shared" si="14"/>
        <v>Normal Merchant Day</v>
      </c>
    </row>
    <row r="316" spans="1:15" x14ac:dyDescent="0.3">
      <c r="A316" t="s">
        <v>383</v>
      </c>
      <c r="B316">
        <v>89</v>
      </c>
      <c r="C316">
        <v>29</v>
      </c>
      <c r="D316" s="1">
        <v>46027.102777777778</v>
      </c>
      <c r="E316">
        <v>799</v>
      </c>
      <c r="F316" t="s">
        <v>66</v>
      </c>
      <c r="G316" t="s">
        <v>64</v>
      </c>
      <c r="H316">
        <v>11</v>
      </c>
      <c r="I316" t="str">
        <f>IFERROR(VLOOKUP(C316,Merchants!$A$2:$D$41,2,FALSE),"Merchant not found")</f>
        <v>Merchant_029</v>
      </c>
      <c r="J316" t="str">
        <f>IFERROR(VLOOKUP(C316,Merchants!$A$2:$D$41,3,FALSE),"Merchant not found")</f>
        <v>ecommerce</v>
      </c>
      <c r="K316" t="str">
        <f>IFERROR(VLOOKUP(C316,Merchants!$A$2:$D$41,4,FALSE),"Merchant not found")</f>
        <v>North</v>
      </c>
      <c r="L316" s="2">
        <f>HLOOKUP(F316,Fee_lookup!$A$2:$E$3,2,FALSE)</f>
        <v>2.0000000000000001E-4</v>
      </c>
      <c r="M316" s="6">
        <f t="shared" si="12"/>
        <v>46027</v>
      </c>
      <c r="N316">
        <f t="shared" si="13"/>
        <v>799</v>
      </c>
      <c r="O316" t="str">
        <f t="shared" si="14"/>
        <v>Normal Merchant Day</v>
      </c>
    </row>
    <row r="317" spans="1:15" x14ac:dyDescent="0.3">
      <c r="A317" t="s">
        <v>384</v>
      </c>
      <c r="B317">
        <v>164</v>
      </c>
      <c r="C317">
        <v>23</v>
      </c>
      <c r="D317" s="1">
        <v>46048.912499999999</v>
      </c>
      <c r="E317">
        <v>49</v>
      </c>
      <c r="F317" t="s">
        <v>69</v>
      </c>
      <c r="G317" t="s">
        <v>64</v>
      </c>
      <c r="H317">
        <v>90</v>
      </c>
      <c r="I317" t="str">
        <f>IFERROR(VLOOKUP(C317,Merchants!$A$2:$D$41,2,FALSE),"Merchant not found")</f>
        <v>Merchant_023</v>
      </c>
      <c r="J317" t="str">
        <f>IFERROR(VLOOKUP(C317,Merchants!$A$2:$D$41,3,FALSE),"Merchant not found")</f>
        <v>travel</v>
      </c>
      <c r="K317" t="str">
        <f>IFERROR(VLOOKUP(C317,Merchants!$A$2:$D$41,4,FALSE),"Merchant not found")</f>
        <v>North</v>
      </c>
      <c r="L317" s="2">
        <f>HLOOKUP(F317,Fee_lookup!$A$2:$E$3,2,FALSE)</f>
        <v>0.01</v>
      </c>
      <c r="M317" s="6">
        <f t="shared" si="12"/>
        <v>46048</v>
      </c>
      <c r="N317">
        <f t="shared" si="13"/>
        <v>49</v>
      </c>
      <c r="O317" t="str">
        <f t="shared" si="14"/>
        <v>Normal Merchant Day</v>
      </c>
    </row>
    <row r="318" spans="1:15" x14ac:dyDescent="0.3">
      <c r="A318" t="s">
        <v>385</v>
      </c>
      <c r="B318">
        <v>149</v>
      </c>
      <c r="C318">
        <v>20</v>
      </c>
      <c r="D318" s="1">
        <v>46025.731944444444</v>
      </c>
      <c r="E318">
        <v>299</v>
      </c>
      <c r="F318" t="s">
        <v>63</v>
      </c>
      <c r="G318" t="s">
        <v>64</v>
      </c>
      <c r="H318">
        <v>20</v>
      </c>
      <c r="I318" t="str">
        <f>IFERROR(VLOOKUP(C318,Merchants!$A$2:$D$41,2,FALSE),"Merchant not found")</f>
        <v>Merchant_020</v>
      </c>
      <c r="J318" t="str">
        <f>IFERROR(VLOOKUP(C318,Merchants!$A$2:$D$41,3,FALSE),"Merchant not found")</f>
        <v>food_delivery</v>
      </c>
      <c r="K318" t="str">
        <f>IFERROR(VLOOKUP(C318,Merchants!$A$2:$D$41,4,FALSE),"Merchant not found")</f>
        <v>East</v>
      </c>
      <c r="L318" s="2">
        <f>HLOOKUP(F318,Fee_lookup!$A$2:$E$3,2,FALSE)</f>
        <v>5.0000000000000001E-4</v>
      </c>
      <c r="M318" s="6">
        <f t="shared" si="12"/>
        <v>46025</v>
      </c>
      <c r="N318">
        <f t="shared" si="13"/>
        <v>348</v>
      </c>
      <c r="O318" t="str">
        <f t="shared" si="14"/>
        <v>Normal Merchant Day</v>
      </c>
    </row>
    <row r="319" spans="1:15" x14ac:dyDescent="0.3">
      <c r="A319" t="s">
        <v>386</v>
      </c>
      <c r="B319">
        <v>327</v>
      </c>
      <c r="C319">
        <v>12</v>
      </c>
      <c r="D319" s="1">
        <v>46045.957638888889</v>
      </c>
      <c r="E319">
        <v>49</v>
      </c>
      <c r="F319" t="s">
        <v>69</v>
      </c>
      <c r="G319" t="s">
        <v>64</v>
      </c>
      <c r="H319">
        <v>46</v>
      </c>
      <c r="I319" t="str">
        <f>IFERROR(VLOOKUP(C319,Merchants!$A$2:$D$41,2,FALSE),"Merchant not found")</f>
        <v>Merchant_012</v>
      </c>
      <c r="J319" t="str">
        <f>IFERROR(VLOOKUP(C319,Merchants!$A$2:$D$41,3,FALSE),"Merchant not found")</f>
        <v>ecommerce</v>
      </c>
      <c r="K319" t="str">
        <f>IFERROR(VLOOKUP(C319,Merchants!$A$2:$D$41,4,FALSE),"Merchant not found")</f>
        <v>East</v>
      </c>
      <c r="L319" s="2">
        <f>HLOOKUP(F319,Fee_lookup!$A$2:$E$3,2,FALSE)</f>
        <v>0.01</v>
      </c>
      <c r="M319" s="6">
        <f t="shared" si="12"/>
        <v>46045</v>
      </c>
      <c r="N319">
        <f t="shared" si="13"/>
        <v>448</v>
      </c>
      <c r="O319" t="str">
        <f t="shared" si="14"/>
        <v>Normal Merchant Day</v>
      </c>
    </row>
    <row r="320" spans="1:15" x14ac:dyDescent="0.3">
      <c r="A320" t="s">
        <v>387</v>
      </c>
      <c r="B320">
        <v>103</v>
      </c>
      <c r="C320">
        <v>9</v>
      </c>
      <c r="D320" s="1">
        <v>46039.296527777777</v>
      </c>
      <c r="E320">
        <v>149</v>
      </c>
      <c r="F320" t="s">
        <v>66</v>
      </c>
      <c r="G320" t="s">
        <v>64</v>
      </c>
      <c r="H320">
        <v>30</v>
      </c>
      <c r="I320" t="str">
        <f>IFERROR(VLOOKUP(C320,Merchants!$A$2:$D$41,2,FALSE),"Merchant not found")</f>
        <v>Merchant_009</v>
      </c>
      <c r="J320" t="str">
        <f>IFERROR(VLOOKUP(C320,Merchants!$A$2:$D$41,3,FALSE),"Merchant not found")</f>
        <v>ecommerce</v>
      </c>
      <c r="K320" t="str">
        <f>IFERROR(VLOOKUP(C320,Merchants!$A$2:$D$41,4,FALSE),"Merchant not found")</f>
        <v>North</v>
      </c>
      <c r="L320" s="2">
        <f>HLOOKUP(F320,Fee_lookup!$A$2:$E$3,2,FALSE)</f>
        <v>2.0000000000000001E-4</v>
      </c>
      <c r="M320" s="6">
        <f t="shared" si="12"/>
        <v>46039</v>
      </c>
      <c r="N320">
        <f t="shared" si="13"/>
        <v>248</v>
      </c>
      <c r="O320" t="str">
        <f t="shared" si="14"/>
        <v>Normal Merchant Day</v>
      </c>
    </row>
    <row r="321" spans="1:15" x14ac:dyDescent="0.3">
      <c r="A321" t="s">
        <v>388</v>
      </c>
      <c r="B321">
        <v>185</v>
      </c>
      <c r="C321">
        <v>36</v>
      </c>
      <c r="D321" s="1">
        <v>46048.625694444447</v>
      </c>
      <c r="E321">
        <v>49</v>
      </c>
      <c r="F321" t="s">
        <v>63</v>
      </c>
      <c r="G321" t="s">
        <v>64</v>
      </c>
      <c r="H321">
        <v>73</v>
      </c>
      <c r="I321" t="str">
        <f>IFERROR(VLOOKUP(C321,Merchants!$A$2:$D$41,2,FALSE),"Merchant not found")</f>
        <v>Merchant_036</v>
      </c>
      <c r="J321" t="str">
        <f>IFERROR(VLOOKUP(C321,Merchants!$A$2:$D$41,3,FALSE),"Merchant not found")</f>
        <v>entertainment</v>
      </c>
      <c r="K321" t="str">
        <f>IFERROR(VLOOKUP(C321,Merchants!$A$2:$D$41,4,FALSE),"Merchant not found")</f>
        <v>East</v>
      </c>
      <c r="L321" s="2">
        <f>HLOOKUP(F321,Fee_lookup!$A$2:$E$3,2,FALSE)</f>
        <v>5.0000000000000001E-4</v>
      </c>
      <c r="M321" s="6">
        <f t="shared" si="12"/>
        <v>46048</v>
      </c>
      <c r="N321">
        <f t="shared" si="13"/>
        <v>198</v>
      </c>
      <c r="O321" t="str">
        <f t="shared" si="14"/>
        <v>Normal Merchant Day</v>
      </c>
    </row>
    <row r="322" spans="1:15" x14ac:dyDescent="0.3">
      <c r="A322" t="s">
        <v>389</v>
      </c>
      <c r="B322">
        <v>283</v>
      </c>
      <c r="C322">
        <v>9</v>
      </c>
      <c r="D322" s="1">
        <v>46034.618750000001</v>
      </c>
      <c r="E322">
        <v>299</v>
      </c>
      <c r="F322" t="s">
        <v>66</v>
      </c>
      <c r="G322" t="s">
        <v>64</v>
      </c>
      <c r="H322">
        <v>78</v>
      </c>
      <c r="I322" t="str">
        <f>IFERROR(VLOOKUP(C322,Merchants!$A$2:$D$41,2,FALSE),"Merchant not found")</f>
        <v>Merchant_009</v>
      </c>
      <c r="J322" t="str">
        <f>IFERROR(VLOOKUP(C322,Merchants!$A$2:$D$41,3,FALSE),"Merchant not found")</f>
        <v>ecommerce</v>
      </c>
      <c r="K322" t="str">
        <f>IFERROR(VLOOKUP(C322,Merchants!$A$2:$D$41,4,FALSE),"Merchant not found")</f>
        <v>North</v>
      </c>
      <c r="L322" s="2">
        <f>HLOOKUP(F322,Fee_lookup!$A$2:$E$3,2,FALSE)</f>
        <v>2.0000000000000001E-4</v>
      </c>
      <c r="M322" s="6">
        <f t="shared" si="12"/>
        <v>46034</v>
      </c>
      <c r="N322">
        <f t="shared" si="13"/>
        <v>299</v>
      </c>
      <c r="O322" t="str">
        <f t="shared" si="14"/>
        <v>Normal Merchant Day</v>
      </c>
    </row>
    <row r="323" spans="1:15" x14ac:dyDescent="0.3">
      <c r="A323" t="s">
        <v>390</v>
      </c>
      <c r="B323">
        <v>159</v>
      </c>
      <c r="C323">
        <v>26</v>
      </c>
      <c r="D323" s="1">
        <v>46051.086111111108</v>
      </c>
      <c r="E323">
        <v>99</v>
      </c>
      <c r="F323" t="s">
        <v>66</v>
      </c>
      <c r="G323" t="s">
        <v>64</v>
      </c>
      <c r="H323">
        <v>91</v>
      </c>
      <c r="I323" t="str">
        <f>IFERROR(VLOOKUP(C323,Merchants!$A$2:$D$41,2,FALSE),"Merchant not found")</f>
        <v>Merchant_026</v>
      </c>
      <c r="J323" t="str">
        <f>IFERROR(VLOOKUP(C323,Merchants!$A$2:$D$41,3,FALSE),"Merchant not found")</f>
        <v>food_delivery</v>
      </c>
      <c r="K323" t="str">
        <f>IFERROR(VLOOKUP(C323,Merchants!$A$2:$D$41,4,FALSE),"Merchant not found")</f>
        <v>East</v>
      </c>
      <c r="L323" s="2">
        <f>HLOOKUP(F323,Fee_lookup!$A$2:$E$3,2,FALSE)</f>
        <v>2.0000000000000001E-4</v>
      </c>
      <c r="M323" s="6">
        <f t="shared" ref="M323:M386" si="15">INT(D323)</f>
        <v>46051</v>
      </c>
      <c r="N323">
        <f t="shared" ref="N323:N386" si="16">SUMIFS($E:$E,$C:$C,C323,$M:$M,M323)</f>
        <v>148</v>
      </c>
      <c r="O323" t="str">
        <f t="shared" ref="O323:O386" si="17">IF(AND(N323&gt;5000,K323&lt;&gt;"East"),"High-Value Merchant Day","Normal Merchant Day")</f>
        <v>Normal Merchant Day</v>
      </c>
    </row>
    <row r="324" spans="1:15" x14ac:dyDescent="0.3">
      <c r="A324" t="s">
        <v>391</v>
      </c>
      <c r="B324">
        <v>211</v>
      </c>
      <c r="C324">
        <v>27</v>
      </c>
      <c r="D324" s="1">
        <v>46046.647916666669</v>
      </c>
      <c r="E324">
        <v>99</v>
      </c>
      <c r="F324" t="s">
        <v>63</v>
      </c>
      <c r="G324" t="s">
        <v>64</v>
      </c>
      <c r="H324">
        <v>73</v>
      </c>
      <c r="I324" t="str">
        <f>IFERROR(VLOOKUP(C324,Merchants!$A$2:$D$41,2,FALSE),"Merchant not found")</f>
        <v>Merchant_027</v>
      </c>
      <c r="J324" t="str">
        <f>IFERROR(VLOOKUP(C324,Merchants!$A$2:$D$41,3,FALSE),"Merchant not found")</f>
        <v>ecommerce</v>
      </c>
      <c r="K324" t="str">
        <f>IFERROR(VLOOKUP(C324,Merchants!$A$2:$D$41,4,FALSE),"Merchant not found")</f>
        <v>North</v>
      </c>
      <c r="L324" s="2">
        <f>HLOOKUP(F324,Fee_lookup!$A$2:$E$3,2,FALSE)</f>
        <v>5.0000000000000001E-4</v>
      </c>
      <c r="M324" s="6">
        <f t="shared" si="15"/>
        <v>46046</v>
      </c>
      <c r="N324">
        <f t="shared" si="16"/>
        <v>99</v>
      </c>
      <c r="O324" t="str">
        <f t="shared" si="17"/>
        <v>Normal Merchant Day</v>
      </c>
    </row>
    <row r="325" spans="1:15" x14ac:dyDescent="0.3">
      <c r="A325" t="s">
        <v>392</v>
      </c>
      <c r="B325">
        <v>329</v>
      </c>
      <c r="C325">
        <v>5</v>
      </c>
      <c r="D325" s="1">
        <v>46025.180555555555</v>
      </c>
      <c r="E325">
        <v>499</v>
      </c>
      <c r="F325" t="s">
        <v>69</v>
      </c>
      <c r="G325" t="s">
        <v>64</v>
      </c>
      <c r="H325">
        <v>57</v>
      </c>
      <c r="I325" t="str">
        <f>IFERROR(VLOOKUP(C325,Merchants!$A$2:$D$41,2,FALSE),"Merchant not found")</f>
        <v>Merchant_005</v>
      </c>
      <c r="J325" t="str">
        <f>IFERROR(VLOOKUP(C325,Merchants!$A$2:$D$41,3,FALSE),"Merchant not found")</f>
        <v>recharge</v>
      </c>
      <c r="K325" t="str">
        <f>IFERROR(VLOOKUP(C325,Merchants!$A$2:$D$41,4,FALSE),"Merchant not found")</f>
        <v>South</v>
      </c>
      <c r="L325" s="2">
        <f>HLOOKUP(F325,Fee_lookup!$A$2:$E$3,2,FALSE)</f>
        <v>0.01</v>
      </c>
      <c r="M325" s="6">
        <f t="shared" si="15"/>
        <v>46025</v>
      </c>
      <c r="N325">
        <f t="shared" si="16"/>
        <v>499</v>
      </c>
      <c r="O325" t="str">
        <f t="shared" si="17"/>
        <v>Normal Merchant Day</v>
      </c>
    </row>
    <row r="326" spans="1:15" x14ac:dyDescent="0.3">
      <c r="A326" t="s">
        <v>393</v>
      </c>
      <c r="B326">
        <v>177</v>
      </c>
      <c r="C326">
        <v>9</v>
      </c>
      <c r="D326" s="1">
        <v>46037.897916666669</v>
      </c>
      <c r="E326">
        <v>99</v>
      </c>
      <c r="F326" t="s">
        <v>66</v>
      </c>
      <c r="G326" t="s">
        <v>64</v>
      </c>
      <c r="H326">
        <v>99</v>
      </c>
      <c r="I326" t="str">
        <f>IFERROR(VLOOKUP(C326,Merchants!$A$2:$D$41,2,FALSE),"Merchant not found")</f>
        <v>Merchant_009</v>
      </c>
      <c r="J326" t="str">
        <f>IFERROR(VLOOKUP(C326,Merchants!$A$2:$D$41,3,FALSE),"Merchant not found")</f>
        <v>ecommerce</v>
      </c>
      <c r="K326" t="str">
        <f>IFERROR(VLOOKUP(C326,Merchants!$A$2:$D$41,4,FALSE),"Merchant not found")</f>
        <v>North</v>
      </c>
      <c r="L326" s="2">
        <f>HLOOKUP(F326,Fee_lookup!$A$2:$E$3,2,FALSE)</f>
        <v>2.0000000000000001E-4</v>
      </c>
      <c r="M326" s="6">
        <f t="shared" si="15"/>
        <v>46037</v>
      </c>
      <c r="N326">
        <f t="shared" si="16"/>
        <v>148</v>
      </c>
      <c r="O326" t="str">
        <f t="shared" si="17"/>
        <v>Normal Merchant Day</v>
      </c>
    </row>
    <row r="327" spans="1:15" x14ac:dyDescent="0.3">
      <c r="A327" t="s">
        <v>394</v>
      </c>
      <c r="B327">
        <v>94</v>
      </c>
      <c r="C327">
        <v>9</v>
      </c>
      <c r="D327" s="1">
        <v>46040.859027777777</v>
      </c>
      <c r="E327">
        <v>299</v>
      </c>
      <c r="F327" t="s">
        <v>66</v>
      </c>
      <c r="G327" t="s">
        <v>64</v>
      </c>
      <c r="H327">
        <v>55</v>
      </c>
      <c r="I327" t="str">
        <f>IFERROR(VLOOKUP(C327,Merchants!$A$2:$D$41,2,FALSE),"Merchant not found")</f>
        <v>Merchant_009</v>
      </c>
      <c r="J327" t="str">
        <f>IFERROR(VLOOKUP(C327,Merchants!$A$2:$D$41,3,FALSE),"Merchant not found")</f>
        <v>ecommerce</v>
      </c>
      <c r="K327" t="str">
        <f>IFERROR(VLOOKUP(C327,Merchants!$A$2:$D$41,4,FALSE),"Merchant not found")</f>
        <v>North</v>
      </c>
      <c r="L327" s="2">
        <f>HLOOKUP(F327,Fee_lookup!$A$2:$E$3,2,FALSE)</f>
        <v>2.0000000000000001E-4</v>
      </c>
      <c r="M327" s="6">
        <f t="shared" si="15"/>
        <v>46040</v>
      </c>
      <c r="N327">
        <f t="shared" si="16"/>
        <v>299</v>
      </c>
      <c r="O327" t="str">
        <f t="shared" si="17"/>
        <v>Normal Merchant Day</v>
      </c>
    </row>
    <row r="328" spans="1:15" x14ac:dyDescent="0.3">
      <c r="A328" t="s">
        <v>395</v>
      </c>
      <c r="B328">
        <v>64</v>
      </c>
      <c r="C328">
        <v>34</v>
      </c>
      <c r="D328" s="1">
        <v>46039.078472222223</v>
      </c>
      <c r="E328">
        <v>299</v>
      </c>
      <c r="F328" t="s">
        <v>66</v>
      </c>
      <c r="G328" t="s">
        <v>64</v>
      </c>
      <c r="H328">
        <v>19</v>
      </c>
      <c r="I328" t="str">
        <f>IFERROR(VLOOKUP(C328,Merchants!$A$2:$D$41,2,FALSE),"Merchant not found")</f>
        <v>Merchant_034</v>
      </c>
      <c r="J328" t="str">
        <f>IFERROR(VLOOKUP(C328,Merchants!$A$2:$D$41,3,FALSE),"Merchant not found")</f>
        <v>travel</v>
      </c>
      <c r="K328" t="str">
        <f>IFERROR(VLOOKUP(C328,Merchants!$A$2:$D$41,4,FALSE),"Merchant not found")</f>
        <v>South</v>
      </c>
      <c r="L328" s="2">
        <f>HLOOKUP(F328,Fee_lookup!$A$2:$E$3,2,FALSE)</f>
        <v>2.0000000000000001E-4</v>
      </c>
      <c r="M328" s="6">
        <f t="shared" si="15"/>
        <v>46039</v>
      </c>
      <c r="N328">
        <f t="shared" si="16"/>
        <v>299</v>
      </c>
      <c r="O328" t="str">
        <f t="shared" si="17"/>
        <v>Normal Merchant Day</v>
      </c>
    </row>
    <row r="329" spans="1:15" x14ac:dyDescent="0.3">
      <c r="A329" t="s">
        <v>396</v>
      </c>
      <c r="B329">
        <v>166</v>
      </c>
      <c r="C329">
        <v>15</v>
      </c>
      <c r="D329" s="1">
        <v>46032.215277777781</v>
      </c>
      <c r="E329">
        <v>49</v>
      </c>
      <c r="F329" t="s">
        <v>66</v>
      </c>
      <c r="G329" t="s">
        <v>64</v>
      </c>
      <c r="H329">
        <v>44</v>
      </c>
      <c r="I329" t="str">
        <f>IFERROR(VLOOKUP(C329,Merchants!$A$2:$D$41,2,FALSE),"Merchant not found")</f>
        <v>Merchant_015</v>
      </c>
      <c r="J329" t="str">
        <f>IFERROR(VLOOKUP(C329,Merchants!$A$2:$D$41,3,FALSE),"Merchant not found")</f>
        <v>travel</v>
      </c>
      <c r="K329" t="str">
        <f>IFERROR(VLOOKUP(C329,Merchants!$A$2:$D$41,4,FALSE),"Merchant not found")</f>
        <v>North</v>
      </c>
      <c r="L329" s="2">
        <f>HLOOKUP(F329,Fee_lookup!$A$2:$E$3,2,FALSE)</f>
        <v>2.0000000000000001E-4</v>
      </c>
      <c r="M329" s="6">
        <f t="shared" si="15"/>
        <v>46032</v>
      </c>
      <c r="N329">
        <f t="shared" si="16"/>
        <v>49</v>
      </c>
      <c r="O329" t="str">
        <f t="shared" si="17"/>
        <v>Normal Merchant Day</v>
      </c>
    </row>
    <row r="330" spans="1:15" x14ac:dyDescent="0.3">
      <c r="A330" t="s">
        <v>397</v>
      </c>
      <c r="B330">
        <v>41</v>
      </c>
      <c r="C330">
        <v>17</v>
      </c>
      <c r="D330" s="1">
        <v>46039.412499999999</v>
      </c>
      <c r="E330">
        <v>299</v>
      </c>
      <c r="F330" t="s">
        <v>63</v>
      </c>
      <c r="G330" t="s">
        <v>64</v>
      </c>
      <c r="H330">
        <v>25</v>
      </c>
      <c r="I330" t="str">
        <f>IFERROR(VLOOKUP(C330,Merchants!$A$2:$D$41,2,FALSE),"Merchant not found")</f>
        <v>Merchant_017</v>
      </c>
      <c r="J330" t="str">
        <f>IFERROR(VLOOKUP(C330,Merchants!$A$2:$D$41,3,FALSE),"Merchant not found")</f>
        <v>grocery</v>
      </c>
      <c r="K330" t="str">
        <f>IFERROR(VLOOKUP(C330,Merchants!$A$2:$D$41,4,FALSE),"Merchant not found")</f>
        <v>North</v>
      </c>
      <c r="L330" s="2">
        <f>HLOOKUP(F330,Fee_lookup!$A$2:$E$3,2,FALSE)</f>
        <v>5.0000000000000001E-4</v>
      </c>
      <c r="M330" s="6">
        <f t="shared" si="15"/>
        <v>46039</v>
      </c>
      <c r="N330">
        <f t="shared" si="16"/>
        <v>299</v>
      </c>
      <c r="O330" t="str">
        <f t="shared" si="17"/>
        <v>Normal Merchant Day</v>
      </c>
    </row>
    <row r="331" spans="1:15" x14ac:dyDescent="0.3">
      <c r="A331" t="s">
        <v>398</v>
      </c>
      <c r="B331">
        <v>65</v>
      </c>
      <c r="C331">
        <v>20</v>
      </c>
      <c r="D331" s="1">
        <v>46043.720138888886</v>
      </c>
      <c r="E331">
        <v>99</v>
      </c>
      <c r="F331" t="s">
        <v>78</v>
      </c>
      <c r="G331" t="s">
        <v>64</v>
      </c>
      <c r="H331">
        <v>78</v>
      </c>
      <c r="I331" t="str">
        <f>IFERROR(VLOOKUP(C331,Merchants!$A$2:$D$41,2,FALSE),"Merchant not found")</f>
        <v>Merchant_020</v>
      </c>
      <c r="J331" t="str">
        <f>IFERROR(VLOOKUP(C331,Merchants!$A$2:$D$41,3,FALSE),"Merchant not found")</f>
        <v>food_delivery</v>
      </c>
      <c r="K331" t="str">
        <f>IFERROR(VLOOKUP(C331,Merchants!$A$2:$D$41,4,FALSE),"Merchant not found")</f>
        <v>East</v>
      </c>
      <c r="L331" s="2">
        <f>HLOOKUP(F331,Fee_lookup!$A$2:$E$3,2,FALSE)</f>
        <v>1.4999999999999999E-2</v>
      </c>
      <c r="M331" s="6">
        <f t="shared" si="15"/>
        <v>46043</v>
      </c>
      <c r="N331">
        <f t="shared" si="16"/>
        <v>99</v>
      </c>
      <c r="O331" t="str">
        <f t="shared" si="17"/>
        <v>Normal Merchant Day</v>
      </c>
    </row>
    <row r="332" spans="1:15" x14ac:dyDescent="0.3">
      <c r="A332" t="s">
        <v>399</v>
      </c>
      <c r="B332">
        <v>329</v>
      </c>
      <c r="C332">
        <v>11</v>
      </c>
      <c r="D332" s="1">
        <v>46040.105555555558</v>
      </c>
      <c r="E332">
        <v>499</v>
      </c>
      <c r="F332" t="s">
        <v>66</v>
      </c>
      <c r="G332" t="s">
        <v>64</v>
      </c>
      <c r="H332">
        <v>75</v>
      </c>
      <c r="I332" t="str">
        <f>IFERROR(VLOOKUP(C332,Merchants!$A$2:$D$41,2,FALSE),"Merchant not found")</f>
        <v>Merchant_011</v>
      </c>
      <c r="J332" t="str">
        <f>IFERROR(VLOOKUP(C332,Merchants!$A$2:$D$41,3,FALSE),"Merchant not found")</f>
        <v>ecommerce</v>
      </c>
      <c r="K332" t="str">
        <f>IFERROR(VLOOKUP(C332,Merchants!$A$2:$D$41,4,FALSE),"Merchant not found")</f>
        <v>North</v>
      </c>
      <c r="L332" s="2">
        <f>HLOOKUP(F332,Fee_lookup!$A$2:$E$3,2,FALSE)</f>
        <v>2.0000000000000001E-4</v>
      </c>
      <c r="M332" s="6">
        <f t="shared" si="15"/>
        <v>46040</v>
      </c>
      <c r="N332">
        <f t="shared" si="16"/>
        <v>499</v>
      </c>
      <c r="O332" t="str">
        <f t="shared" si="17"/>
        <v>Normal Merchant Day</v>
      </c>
    </row>
    <row r="333" spans="1:15" x14ac:dyDescent="0.3">
      <c r="A333" t="s">
        <v>400</v>
      </c>
      <c r="B333">
        <v>338</v>
      </c>
      <c r="C333">
        <v>40</v>
      </c>
      <c r="D333" s="1">
        <v>46041.173611111109</v>
      </c>
      <c r="E333">
        <v>149</v>
      </c>
      <c r="F333" t="s">
        <v>66</v>
      </c>
      <c r="G333" t="s">
        <v>64</v>
      </c>
      <c r="H333">
        <v>92</v>
      </c>
      <c r="I333" t="str">
        <f>IFERROR(VLOOKUP(C333,Merchants!$A$2:$D$41,2,FALSE),"Merchant not found")</f>
        <v>Merchant_040</v>
      </c>
      <c r="J333" t="str">
        <f>IFERROR(VLOOKUP(C333,Merchants!$A$2:$D$41,3,FALSE),"Merchant not found")</f>
        <v>entertainment</v>
      </c>
      <c r="K333" t="str">
        <f>IFERROR(VLOOKUP(C333,Merchants!$A$2:$D$41,4,FALSE),"Merchant not found")</f>
        <v>South</v>
      </c>
      <c r="L333" s="2">
        <f>HLOOKUP(F333,Fee_lookup!$A$2:$E$3,2,FALSE)</f>
        <v>2.0000000000000001E-4</v>
      </c>
      <c r="M333" s="6">
        <f t="shared" si="15"/>
        <v>46041</v>
      </c>
      <c r="N333">
        <f t="shared" si="16"/>
        <v>648</v>
      </c>
      <c r="O333" t="str">
        <f t="shared" si="17"/>
        <v>Normal Merchant Day</v>
      </c>
    </row>
    <row r="334" spans="1:15" x14ac:dyDescent="0.3">
      <c r="A334" t="s">
        <v>401</v>
      </c>
      <c r="B334">
        <v>289</v>
      </c>
      <c r="C334">
        <v>3</v>
      </c>
      <c r="D334" s="1">
        <v>46051.806250000001</v>
      </c>
      <c r="E334">
        <v>49</v>
      </c>
      <c r="F334" t="s">
        <v>69</v>
      </c>
      <c r="G334" t="s">
        <v>64</v>
      </c>
      <c r="H334">
        <v>3</v>
      </c>
      <c r="I334" t="str">
        <f>IFERROR(VLOOKUP(C334,Merchants!$A$2:$D$41,2,FALSE),"Merchant not found")</f>
        <v>Merchant_003</v>
      </c>
      <c r="J334" t="str">
        <f>IFERROR(VLOOKUP(C334,Merchants!$A$2:$D$41,3,FALSE),"Merchant not found")</f>
        <v>grocery</v>
      </c>
      <c r="K334" t="str">
        <f>IFERROR(VLOOKUP(C334,Merchants!$A$2:$D$41,4,FALSE),"Merchant not found")</f>
        <v>East</v>
      </c>
      <c r="L334" s="2">
        <f>HLOOKUP(F334,Fee_lookup!$A$2:$E$3,2,FALSE)</f>
        <v>0.01</v>
      </c>
      <c r="M334" s="6">
        <f t="shared" si="15"/>
        <v>46051</v>
      </c>
      <c r="N334">
        <f t="shared" si="16"/>
        <v>49</v>
      </c>
      <c r="O334" t="str">
        <f t="shared" si="17"/>
        <v>Normal Merchant Day</v>
      </c>
    </row>
    <row r="335" spans="1:15" x14ac:dyDescent="0.3">
      <c r="A335" t="s">
        <v>402</v>
      </c>
      <c r="B335">
        <v>296</v>
      </c>
      <c r="C335">
        <v>17</v>
      </c>
      <c r="D335" s="1">
        <v>46025.070138888892</v>
      </c>
      <c r="E335">
        <v>99</v>
      </c>
      <c r="F335" t="s">
        <v>66</v>
      </c>
      <c r="G335" t="s">
        <v>64</v>
      </c>
      <c r="H335">
        <v>83</v>
      </c>
      <c r="I335" t="str">
        <f>IFERROR(VLOOKUP(C335,Merchants!$A$2:$D$41,2,FALSE),"Merchant not found")</f>
        <v>Merchant_017</v>
      </c>
      <c r="J335" t="str">
        <f>IFERROR(VLOOKUP(C335,Merchants!$A$2:$D$41,3,FALSE),"Merchant not found")</f>
        <v>grocery</v>
      </c>
      <c r="K335" t="str">
        <f>IFERROR(VLOOKUP(C335,Merchants!$A$2:$D$41,4,FALSE),"Merchant not found")</f>
        <v>North</v>
      </c>
      <c r="L335" s="2">
        <f>HLOOKUP(F335,Fee_lookup!$A$2:$E$3,2,FALSE)</f>
        <v>2.0000000000000001E-4</v>
      </c>
      <c r="M335" s="6">
        <f t="shared" si="15"/>
        <v>46025</v>
      </c>
      <c r="N335">
        <f t="shared" si="16"/>
        <v>398</v>
      </c>
      <c r="O335" t="str">
        <f t="shared" si="17"/>
        <v>Normal Merchant Day</v>
      </c>
    </row>
    <row r="336" spans="1:15" x14ac:dyDescent="0.3">
      <c r="A336" t="s">
        <v>403</v>
      </c>
      <c r="B336">
        <v>317</v>
      </c>
      <c r="C336">
        <v>2</v>
      </c>
      <c r="D336" s="1">
        <v>46029.768055555556</v>
      </c>
      <c r="E336">
        <v>499</v>
      </c>
      <c r="F336" t="s">
        <v>78</v>
      </c>
      <c r="G336" t="s">
        <v>64</v>
      </c>
      <c r="H336">
        <v>63</v>
      </c>
      <c r="I336" t="str">
        <f>IFERROR(VLOOKUP(C336,Merchants!$A$2:$D$41,2,FALSE),"Merchant not found")</f>
        <v>Merchant_002</v>
      </c>
      <c r="J336" t="str">
        <f>IFERROR(VLOOKUP(C336,Merchants!$A$2:$D$41,3,FALSE),"Merchant not found")</f>
        <v>grocery</v>
      </c>
      <c r="K336" t="str">
        <f>IFERROR(VLOOKUP(C336,Merchants!$A$2:$D$41,4,FALSE),"Merchant not found")</f>
        <v>West</v>
      </c>
      <c r="L336" s="2">
        <f>HLOOKUP(F336,Fee_lookup!$A$2:$E$3,2,FALSE)</f>
        <v>1.4999999999999999E-2</v>
      </c>
      <c r="M336" s="6">
        <f t="shared" si="15"/>
        <v>46029</v>
      </c>
      <c r="N336">
        <f t="shared" si="16"/>
        <v>499</v>
      </c>
      <c r="O336" t="str">
        <f t="shared" si="17"/>
        <v>Normal Merchant Day</v>
      </c>
    </row>
    <row r="337" spans="1:15" x14ac:dyDescent="0.3">
      <c r="A337" t="s">
        <v>404</v>
      </c>
      <c r="B337">
        <v>149</v>
      </c>
      <c r="C337">
        <v>20</v>
      </c>
      <c r="D337" s="1">
        <v>46051.856944444444</v>
      </c>
      <c r="E337">
        <v>499</v>
      </c>
      <c r="F337" t="s">
        <v>78</v>
      </c>
      <c r="G337" t="s">
        <v>64</v>
      </c>
      <c r="H337">
        <v>61</v>
      </c>
      <c r="I337" t="str">
        <f>IFERROR(VLOOKUP(C337,Merchants!$A$2:$D$41,2,FALSE),"Merchant not found")</f>
        <v>Merchant_020</v>
      </c>
      <c r="J337" t="str">
        <f>IFERROR(VLOOKUP(C337,Merchants!$A$2:$D$41,3,FALSE),"Merchant not found")</f>
        <v>food_delivery</v>
      </c>
      <c r="K337" t="str">
        <f>IFERROR(VLOOKUP(C337,Merchants!$A$2:$D$41,4,FALSE),"Merchant not found")</f>
        <v>East</v>
      </c>
      <c r="L337" s="2">
        <f>HLOOKUP(F337,Fee_lookup!$A$2:$E$3,2,FALSE)</f>
        <v>1.4999999999999999E-2</v>
      </c>
      <c r="M337" s="6">
        <f t="shared" si="15"/>
        <v>46051</v>
      </c>
      <c r="N337">
        <f t="shared" si="16"/>
        <v>499</v>
      </c>
      <c r="O337" t="str">
        <f t="shared" si="17"/>
        <v>Normal Merchant Day</v>
      </c>
    </row>
    <row r="338" spans="1:15" x14ac:dyDescent="0.3">
      <c r="A338" t="s">
        <v>405</v>
      </c>
      <c r="B338">
        <v>153</v>
      </c>
      <c r="C338">
        <v>30</v>
      </c>
      <c r="D338" s="1">
        <v>46030.892361111109</v>
      </c>
      <c r="E338">
        <v>299</v>
      </c>
      <c r="F338" t="s">
        <v>66</v>
      </c>
      <c r="G338" t="s">
        <v>64</v>
      </c>
      <c r="H338">
        <v>9</v>
      </c>
      <c r="I338" t="str">
        <f>IFERROR(VLOOKUP(C338,Merchants!$A$2:$D$41,2,FALSE),"Merchant not found")</f>
        <v>Merchant_030</v>
      </c>
      <c r="J338" t="str">
        <f>IFERROR(VLOOKUP(C338,Merchants!$A$2:$D$41,3,FALSE),"Merchant not found")</f>
        <v>travel</v>
      </c>
      <c r="K338" t="str">
        <f>IFERROR(VLOOKUP(C338,Merchants!$A$2:$D$41,4,FALSE),"Merchant not found")</f>
        <v>West</v>
      </c>
      <c r="L338" s="2">
        <f>HLOOKUP(F338,Fee_lookup!$A$2:$E$3,2,FALSE)</f>
        <v>2.0000000000000001E-4</v>
      </c>
      <c r="M338" s="6">
        <f t="shared" si="15"/>
        <v>46030</v>
      </c>
      <c r="N338">
        <f t="shared" si="16"/>
        <v>1197</v>
      </c>
      <c r="O338" t="str">
        <f t="shared" si="17"/>
        <v>Normal Merchant Day</v>
      </c>
    </row>
    <row r="339" spans="1:15" x14ac:dyDescent="0.3">
      <c r="A339" t="s">
        <v>406</v>
      </c>
      <c r="B339">
        <v>226</v>
      </c>
      <c r="C339">
        <v>27</v>
      </c>
      <c r="D339" s="1">
        <v>46045.048611111109</v>
      </c>
      <c r="E339">
        <v>2999</v>
      </c>
      <c r="F339" t="s">
        <v>66</v>
      </c>
      <c r="G339" t="s">
        <v>92</v>
      </c>
      <c r="H339">
        <v>61</v>
      </c>
      <c r="I339" t="str">
        <f>IFERROR(VLOOKUP(C339,Merchants!$A$2:$D$41,2,FALSE),"Merchant not found")</f>
        <v>Merchant_027</v>
      </c>
      <c r="J339" t="str">
        <f>IFERROR(VLOOKUP(C339,Merchants!$A$2:$D$41,3,FALSE),"Merchant not found")</f>
        <v>ecommerce</v>
      </c>
      <c r="K339" t="str">
        <f>IFERROR(VLOOKUP(C339,Merchants!$A$2:$D$41,4,FALSE),"Merchant not found")</f>
        <v>North</v>
      </c>
      <c r="L339" s="2">
        <f>HLOOKUP(F339,Fee_lookup!$A$2:$E$3,2,FALSE)</f>
        <v>2.0000000000000001E-4</v>
      </c>
      <c r="M339" s="6">
        <f t="shared" si="15"/>
        <v>46045</v>
      </c>
      <c r="N339">
        <f t="shared" si="16"/>
        <v>3998</v>
      </c>
      <c r="O339" t="str">
        <f t="shared" si="17"/>
        <v>Normal Merchant Day</v>
      </c>
    </row>
    <row r="340" spans="1:15" x14ac:dyDescent="0.3">
      <c r="A340" t="s">
        <v>407</v>
      </c>
      <c r="B340">
        <v>311</v>
      </c>
      <c r="C340">
        <v>10</v>
      </c>
      <c r="D340" s="1">
        <v>46037.26458333333</v>
      </c>
      <c r="E340">
        <v>2999</v>
      </c>
      <c r="F340" t="s">
        <v>66</v>
      </c>
      <c r="G340" t="s">
        <v>64</v>
      </c>
      <c r="H340">
        <v>40</v>
      </c>
      <c r="I340" t="str">
        <f>IFERROR(VLOOKUP(C340,Merchants!$A$2:$D$41,2,FALSE),"Merchant not found")</f>
        <v>Merchant_010</v>
      </c>
      <c r="J340" t="str">
        <f>IFERROR(VLOOKUP(C340,Merchants!$A$2:$D$41,3,FALSE),"Merchant not found")</f>
        <v>grocery</v>
      </c>
      <c r="K340" t="str">
        <f>IFERROR(VLOOKUP(C340,Merchants!$A$2:$D$41,4,FALSE),"Merchant not found")</f>
        <v>West</v>
      </c>
      <c r="L340" s="2">
        <f>HLOOKUP(F340,Fee_lookup!$A$2:$E$3,2,FALSE)</f>
        <v>2.0000000000000001E-4</v>
      </c>
      <c r="M340" s="6">
        <f t="shared" si="15"/>
        <v>46037</v>
      </c>
      <c r="N340">
        <f t="shared" si="16"/>
        <v>2999</v>
      </c>
      <c r="O340" t="str">
        <f t="shared" si="17"/>
        <v>Normal Merchant Day</v>
      </c>
    </row>
    <row r="341" spans="1:15" x14ac:dyDescent="0.3">
      <c r="A341" t="s">
        <v>408</v>
      </c>
      <c r="B341">
        <v>177</v>
      </c>
      <c r="C341">
        <v>26</v>
      </c>
      <c r="D341" s="1">
        <v>46050.930555555555</v>
      </c>
      <c r="E341">
        <v>1499</v>
      </c>
      <c r="F341" t="s">
        <v>66</v>
      </c>
      <c r="G341" t="s">
        <v>64</v>
      </c>
      <c r="H341">
        <v>16</v>
      </c>
      <c r="I341" t="str">
        <f>IFERROR(VLOOKUP(C341,Merchants!$A$2:$D$41,2,FALSE),"Merchant not found")</f>
        <v>Merchant_026</v>
      </c>
      <c r="J341" t="str">
        <f>IFERROR(VLOOKUP(C341,Merchants!$A$2:$D$41,3,FALSE),"Merchant not found")</f>
        <v>food_delivery</v>
      </c>
      <c r="K341" t="str">
        <f>IFERROR(VLOOKUP(C341,Merchants!$A$2:$D$41,4,FALSE),"Merchant not found")</f>
        <v>East</v>
      </c>
      <c r="L341" s="2">
        <f>HLOOKUP(F341,Fee_lookup!$A$2:$E$3,2,FALSE)</f>
        <v>2.0000000000000001E-4</v>
      </c>
      <c r="M341" s="6">
        <f t="shared" si="15"/>
        <v>46050</v>
      </c>
      <c r="N341">
        <f t="shared" si="16"/>
        <v>1499</v>
      </c>
      <c r="O341" t="str">
        <f t="shared" si="17"/>
        <v>Normal Merchant Day</v>
      </c>
    </row>
    <row r="342" spans="1:15" x14ac:dyDescent="0.3">
      <c r="A342" t="s">
        <v>409</v>
      </c>
      <c r="B342">
        <v>288</v>
      </c>
      <c r="C342">
        <v>7</v>
      </c>
      <c r="D342" s="1">
        <v>46047.480555555558</v>
      </c>
      <c r="E342">
        <v>99</v>
      </c>
      <c r="F342" t="s">
        <v>69</v>
      </c>
      <c r="G342" t="s">
        <v>64</v>
      </c>
      <c r="H342">
        <v>40</v>
      </c>
      <c r="I342" t="str">
        <f>IFERROR(VLOOKUP(C342,Merchants!$A$2:$D$41,2,FALSE),"Merchant not found")</f>
        <v>Merchant_007</v>
      </c>
      <c r="J342" t="str">
        <f>IFERROR(VLOOKUP(C342,Merchants!$A$2:$D$41,3,FALSE),"Merchant not found")</f>
        <v>food_delivery</v>
      </c>
      <c r="K342" t="str">
        <f>IFERROR(VLOOKUP(C342,Merchants!$A$2:$D$41,4,FALSE),"Merchant not found")</f>
        <v>East</v>
      </c>
      <c r="L342" s="2">
        <f>HLOOKUP(F342,Fee_lookup!$A$2:$E$3,2,FALSE)</f>
        <v>0.01</v>
      </c>
      <c r="M342" s="6">
        <f t="shared" si="15"/>
        <v>46047</v>
      </c>
      <c r="N342">
        <f t="shared" si="16"/>
        <v>99</v>
      </c>
      <c r="O342" t="str">
        <f t="shared" si="17"/>
        <v>Normal Merchant Day</v>
      </c>
    </row>
    <row r="343" spans="1:15" x14ac:dyDescent="0.3">
      <c r="A343" t="s">
        <v>410</v>
      </c>
      <c r="B343">
        <v>137</v>
      </c>
      <c r="C343">
        <v>29</v>
      </c>
      <c r="D343" s="1">
        <v>46030.588194444441</v>
      </c>
      <c r="E343">
        <v>2999</v>
      </c>
      <c r="F343" t="s">
        <v>66</v>
      </c>
      <c r="G343" t="s">
        <v>79</v>
      </c>
      <c r="H343">
        <v>31</v>
      </c>
      <c r="I343" t="str">
        <f>IFERROR(VLOOKUP(C343,Merchants!$A$2:$D$41,2,FALSE),"Merchant not found")</f>
        <v>Merchant_029</v>
      </c>
      <c r="J343" t="str">
        <f>IFERROR(VLOOKUP(C343,Merchants!$A$2:$D$41,3,FALSE),"Merchant not found")</f>
        <v>ecommerce</v>
      </c>
      <c r="K343" t="str">
        <f>IFERROR(VLOOKUP(C343,Merchants!$A$2:$D$41,4,FALSE),"Merchant not found")</f>
        <v>North</v>
      </c>
      <c r="L343" s="2">
        <f>HLOOKUP(F343,Fee_lookup!$A$2:$E$3,2,FALSE)</f>
        <v>2.0000000000000001E-4</v>
      </c>
      <c r="M343" s="6">
        <f t="shared" si="15"/>
        <v>46030</v>
      </c>
      <c r="N343">
        <f t="shared" si="16"/>
        <v>2999</v>
      </c>
      <c r="O343" t="str">
        <f t="shared" si="17"/>
        <v>Normal Merchant Day</v>
      </c>
    </row>
    <row r="344" spans="1:15" x14ac:dyDescent="0.3">
      <c r="A344" t="s">
        <v>411</v>
      </c>
      <c r="B344">
        <v>149</v>
      </c>
      <c r="C344">
        <v>25</v>
      </c>
      <c r="D344" s="1">
        <v>46027.127083333333</v>
      </c>
      <c r="E344">
        <v>1499</v>
      </c>
      <c r="F344" t="s">
        <v>66</v>
      </c>
      <c r="G344" t="s">
        <v>64</v>
      </c>
      <c r="H344">
        <v>78</v>
      </c>
      <c r="I344" t="str">
        <f>IFERROR(VLOOKUP(C344,Merchants!$A$2:$D$41,2,FALSE),"Merchant not found")</f>
        <v>Merchant_025</v>
      </c>
      <c r="J344" t="str">
        <f>IFERROR(VLOOKUP(C344,Merchants!$A$2:$D$41,3,FALSE),"Merchant not found")</f>
        <v>travel</v>
      </c>
      <c r="K344" t="str">
        <f>IFERROR(VLOOKUP(C344,Merchants!$A$2:$D$41,4,FALSE),"Merchant not found")</f>
        <v>South</v>
      </c>
      <c r="L344" s="2">
        <f>HLOOKUP(F344,Fee_lookup!$A$2:$E$3,2,FALSE)</f>
        <v>2.0000000000000001E-4</v>
      </c>
      <c r="M344" s="6">
        <f t="shared" si="15"/>
        <v>46027</v>
      </c>
      <c r="N344">
        <f t="shared" si="16"/>
        <v>4498</v>
      </c>
      <c r="O344" t="str">
        <f t="shared" si="17"/>
        <v>Normal Merchant Day</v>
      </c>
    </row>
    <row r="345" spans="1:15" x14ac:dyDescent="0.3">
      <c r="A345" t="s">
        <v>412</v>
      </c>
      <c r="B345">
        <v>82</v>
      </c>
      <c r="C345">
        <v>21</v>
      </c>
      <c r="D345" s="1">
        <v>46036.329861111109</v>
      </c>
      <c r="E345">
        <v>49</v>
      </c>
      <c r="F345" t="s">
        <v>63</v>
      </c>
      <c r="G345" t="s">
        <v>64</v>
      </c>
      <c r="H345">
        <v>73</v>
      </c>
      <c r="I345" t="str">
        <f>IFERROR(VLOOKUP(C345,Merchants!$A$2:$D$41,2,FALSE),"Merchant not found")</f>
        <v>Merchant_021</v>
      </c>
      <c r="J345" t="str">
        <f>IFERROR(VLOOKUP(C345,Merchants!$A$2:$D$41,3,FALSE),"Merchant not found")</f>
        <v>food_delivery</v>
      </c>
      <c r="K345" t="str">
        <f>IFERROR(VLOOKUP(C345,Merchants!$A$2:$D$41,4,FALSE),"Merchant not found")</f>
        <v>East</v>
      </c>
      <c r="L345" s="2">
        <f>HLOOKUP(F345,Fee_lookup!$A$2:$E$3,2,FALSE)</f>
        <v>5.0000000000000001E-4</v>
      </c>
      <c r="M345" s="6">
        <f t="shared" si="15"/>
        <v>46036</v>
      </c>
      <c r="N345">
        <f t="shared" si="16"/>
        <v>49</v>
      </c>
      <c r="O345" t="str">
        <f t="shared" si="17"/>
        <v>Normal Merchant Day</v>
      </c>
    </row>
    <row r="346" spans="1:15" x14ac:dyDescent="0.3">
      <c r="A346" t="s">
        <v>413</v>
      </c>
      <c r="B346">
        <v>82</v>
      </c>
      <c r="C346">
        <v>32</v>
      </c>
      <c r="D346" s="1">
        <v>46046.425000000003</v>
      </c>
      <c r="E346">
        <v>49</v>
      </c>
      <c r="F346" t="s">
        <v>66</v>
      </c>
      <c r="G346" t="s">
        <v>64</v>
      </c>
      <c r="H346">
        <v>65</v>
      </c>
      <c r="I346" t="str">
        <f>IFERROR(VLOOKUP(C346,Merchants!$A$2:$D$41,2,FALSE),"Merchant not found")</f>
        <v>Merchant_032</v>
      </c>
      <c r="J346" t="str">
        <f>IFERROR(VLOOKUP(C346,Merchants!$A$2:$D$41,3,FALSE),"Merchant not found")</f>
        <v>food_delivery</v>
      </c>
      <c r="K346" t="str">
        <f>IFERROR(VLOOKUP(C346,Merchants!$A$2:$D$41,4,FALSE),"Merchant not found")</f>
        <v>West</v>
      </c>
      <c r="L346" s="2">
        <f>HLOOKUP(F346,Fee_lookup!$A$2:$E$3,2,FALSE)</f>
        <v>2.0000000000000001E-4</v>
      </c>
      <c r="M346" s="6">
        <f t="shared" si="15"/>
        <v>46046</v>
      </c>
      <c r="N346">
        <f t="shared" si="16"/>
        <v>49</v>
      </c>
      <c r="O346" t="str">
        <f t="shared" si="17"/>
        <v>Normal Merchant Day</v>
      </c>
    </row>
    <row r="347" spans="1:15" x14ac:dyDescent="0.3">
      <c r="A347" t="s">
        <v>414</v>
      </c>
      <c r="B347">
        <v>158</v>
      </c>
      <c r="C347">
        <v>32</v>
      </c>
      <c r="D347" s="1">
        <v>46037.663888888892</v>
      </c>
      <c r="E347">
        <v>99</v>
      </c>
      <c r="F347" t="s">
        <v>63</v>
      </c>
      <c r="G347" t="s">
        <v>64</v>
      </c>
      <c r="H347">
        <v>2</v>
      </c>
      <c r="I347" t="str">
        <f>IFERROR(VLOOKUP(C347,Merchants!$A$2:$D$41,2,FALSE),"Merchant not found")</f>
        <v>Merchant_032</v>
      </c>
      <c r="J347" t="str">
        <f>IFERROR(VLOOKUP(C347,Merchants!$A$2:$D$41,3,FALSE),"Merchant not found")</f>
        <v>food_delivery</v>
      </c>
      <c r="K347" t="str">
        <f>IFERROR(VLOOKUP(C347,Merchants!$A$2:$D$41,4,FALSE),"Merchant not found")</f>
        <v>West</v>
      </c>
      <c r="L347" s="2">
        <f>HLOOKUP(F347,Fee_lookup!$A$2:$E$3,2,FALSE)</f>
        <v>5.0000000000000001E-4</v>
      </c>
      <c r="M347" s="6">
        <f t="shared" si="15"/>
        <v>46037</v>
      </c>
      <c r="N347">
        <f t="shared" si="16"/>
        <v>148</v>
      </c>
      <c r="O347" t="str">
        <f t="shared" si="17"/>
        <v>Normal Merchant Day</v>
      </c>
    </row>
    <row r="348" spans="1:15" x14ac:dyDescent="0.3">
      <c r="A348" t="s">
        <v>415</v>
      </c>
      <c r="B348">
        <v>235</v>
      </c>
      <c r="C348">
        <v>16</v>
      </c>
      <c r="D348" s="1">
        <v>46025.522222222222</v>
      </c>
      <c r="E348">
        <v>99</v>
      </c>
      <c r="F348" t="s">
        <v>66</v>
      </c>
      <c r="G348" t="s">
        <v>64</v>
      </c>
      <c r="H348">
        <v>27</v>
      </c>
      <c r="I348" t="str">
        <f>IFERROR(VLOOKUP(C348,Merchants!$A$2:$D$41,2,FALSE),"Merchant not found")</f>
        <v>Merchant_016</v>
      </c>
      <c r="J348" t="str">
        <f>IFERROR(VLOOKUP(C348,Merchants!$A$2:$D$41,3,FALSE),"Merchant not found")</f>
        <v>bill_payment</v>
      </c>
      <c r="K348" t="str">
        <f>IFERROR(VLOOKUP(C348,Merchants!$A$2:$D$41,4,FALSE),"Merchant not found")</f>
        <v>West</v>
      </c>
      <c r="L348" s="2">
        <f>HLOOKUP(F348,Fee_lookup!$A$2:$E$3,2,FALSE)</f>
        <v>2.0000000000000001E-4</v>
      </c>
      <c r="M348" s="6">
        <f t="shared" si="15"/>
        <v>46025</v>
      </c>
      <c r="N348">
        <f t="shared" si="16"/>
        <v>99</v>
      </c>
      <c r="O348" t="str">
        <f t="shared" si="17"/>
        <v>Normal Merchant Day</v>
      </c>
    </row>
    <row r="349" spans="1:15" x14ac:dyDescent="0.3">
      <c r="A349" t="s">
        <v>416</v>
      </c>
      <c r="B349">
        <v>26</v>
      </c>
      <c r="C349">
        <v>19</v>
      </c>
      <c r="D349" s="1">
        <v>46041.460416666669</v>
      </c>
      <c r="E349">
        <v>99</v>
      </c>
      <c r="F349" t="s">
        <v>63</v>
      </c>
      <c r="G349" t="s">
        <v>64</v>
      </c>
      <c r="H349">
        <v>63</v>
      </c>
      <c r="I349" t="str">
        <f>IFERROR(VLOOKUP(C349,Merchants!$A$2:$D$41,2,FALSE),"Merchant not found")</f>
        <v>Merchant_019</v>
      </c>
      <c r="J349" t="str">
        <f>IFERROR(VLOOKUP(C349,Merchants!$A$2:$D$41,3,FALSE),"Merchant not found")</f>
        <v>grocery</v>
      </c>
      <c r="K349" t="str">
        <f>IFERROR(VLOOKUP(C349,Merchants!$A$2:$D$41,4,FALSE),"Merchant not found")</f>
        <v>North</v>
      </c>
      <c r="L349" s="2">
        <f>HLOOKUP(F349,Fee_lookup!$A$2:$E$3,2,FALSE)</f>
        <v>5.0000000000000001E-4</v>
      </c>
      <c r="M349" s="6">
        <f t="shared" si="15"/>
        <v>46041</v>
      </c>
      <c r="N349">
        <f t="shared" si="16"/>
        <v>99</v>
      </c>
      <c r="O349" t="str">
        <f t="shared" si="17"/>
        <v>Normal Merchant Day</v>
      </c>
    </row>
    <row r="350" spans="1:15" x14ac:dyDescent="0.3">
      <c r="A350" t="s">
        <v>417</v>
      </c>
      <c r="B350">
        <v>241</v>
      </c>
      <c r="C350">
        <v>19</v>
      </c>
      <c r="D350" s="1">
        <v>46042.863194444442</v>
      </c>
      <c r="E350">
        <v>299</v>
      </c>
      <c r="F350" t="s">
        <v>66</v>
      </c>
      <c r="G350" t="s">
        <v>64</v>
      </c>
      <c r="H350">
        <v>68</v>
      </c>
      <c r="I350" t="str">
        <f>IFERROR(VLOOKUP(C350,Merchants!$A$2:$D$41,2,FALSE),"Merchant not found")</f>
        <v>Merchant_019</v>
      </c>
      <c r="J350" t="str">
        <f>IFERROR(VLOOKUP(C350,Merchants!$A$2:$D$41,3,FALSE),"Merchant not found")</f>
        <v>grocery</v>
      </c>
      <c r="K350" t="str">
        <f>IFERROR(VLOOKUP(C350,Merchants!$A$2:$D$41,4,FALSE),"Merchant not found")</f>
        <v>North</v>
      </c>
      <c r="L350" s="2">
        <f>HLOOKUP(F350,Fee_lookup!$A$2:$E$3,2,FALSE)</f>
        <v>2.0000000000000001E-4</v>
      </c>
      <c r="M350" s="6">
        <f t="shared" si="15"/>
        <v>46042</v>
      </c>
      <c r="N350">
        <f t="shared" si="16"/>
        <v>348</v>
      </c>
      <c r="O350" t="str">
        <f t="shared" si="17"/>
        <v>Normal Merchant Day</v>
      </c>
    </row>
    <row r="351" spans="1:15" x14ac:dyDescent="0.3">
      <c r="A351" t="s">
        <v>418</v>
      </c>
      <c r="B351">
        <v>69</v>
      </c>
      <c r="C351">
        <v>17</v>
      </c>
      <c r="D351" s="1">
        <v>46023.143750000003</v>
      </c>
      <c r="E351">
        <v>1499</v>
      </c>
      <c r="F351" t="s">
        <v>66</v>
      </c>
      <c r="G351" t="s">
        <v>64</v>
      </c>
      <c r="H351">
        <v>93</v>
      </c>
      <c r="I351" t="str">
        <f>IFERROR(VLOOKUP(C351,Merchants!$A$2:$D$41,2,FALSE),"Merchant not found")</f>
        <v>Merchant_017</v>
      </c>
      <c r="J351" t="str">
        <f>IFERROR(VLOOKUP(C351,Merchants!$A$2:$D$41,3,FALSE),"Merchant not found")</f>
        <v>grocery</v>
      </c>
      <c r="K351" t="str">
        <f>IFERROR(VLOOKUP(C351,Merchants!$A$2:$D$41,4,FALSE),"Merchant not found")</f>
        <v>North</v>
      </c>
      <c r="L351" s="2">
        <f>HLOOKUP(F351,Fee_lookup!$A$2:$E$3,2,FALSE)</f>
        <v>2.0000000000000001E-4</v>
      </c>
      <c r="M351" s="6">
        <f t="shared" si="15"/>
        <v>46023</v>
      </c>
      <c r="N351">
        <f t="shared" si="16"/>
        <v>1499</v>
      </c>
      <c r="O351" t="str">
        <f t="shared" si="17"/>
        <v>Normal Merchant Day</v>
      </c>
    </row>
    <row r="352" spans="1:15" x14ac:dyDescent="0.3">
      <c r="A352" t="s">
        <v>419</v>
      </c>
      <c r="B352">
        <v>24</v>
      </c>
      <c r="C352">
        <v>26</v>
      </c>
      <c r="D352" s="1">
        <v>46034.515972222223</v>
      </c>
      <c r="E352">
        <v>299</v>
      </c>
      <c r="F352" t="s">
        <v>69</v>
      </c>
      <c r="G352" t="s">
        <v>64</v>
      </c>
      <c r="H352">
        <v>6</v>
      </c>
      <c r="I352" t="str">
        <f>IFERROR(VLOOKUP(C352,Merchants!$A$2:$D$41,2,FALSE),"Merchant not found")</f>
        <v>Merchant_026</v>
      </c>
      <c r="J352" t="str">
        <f>IFERROR(VLOOKUP(C352,Merchants!$A$2:$D$41,3,FALSE),"Merchant not found")</f>
        <v>food_delivery</v>
      </c>
      <c r="K352" t="str">
        <f>IFERROR(VLOOKUP(C352,Merchants!$A$2:$D$41,4,FALSE),"Merchant not found")</f>
        <v>East</v>
      </c>
      <c r="L352" s="2">
        <f>HLOOKUP(F352,Fee_lookup!$A$2:$E$3,2,FALSE)</f>
        <v>0.01</v>
      </c>
      <c r="M352" s="6">
        <f t="shared" si="15"/>
        <v>46034</v>
      </c>
      <c r="N352">
        <f t="shared" si="16"/>
        <v>299</v>
      </c>
      <c r="O352" t="str">
        <f t="shared" si="17"/>
        <v>Normal Merchant Day</v>
      </c>
    </row>
    <row r="353" spans="1:15" x14ac:dyDescent="0.3">
      <c r="A353" t="s">
        <v>420</v>
      </c>
      <c r="B353">
        <v>186</v>
      </c>
      <c r="C353">
        <v>36</v>
      </c>
      <c r="D353" s="1">
        <v>46041.716666666667</v>
      </c>
      <c r="E353">
        <v>4999</v>
      </c>
      <c r="F353" t="s">
        <v>66</v>
      </c>
      <c r="G353" t="s">
        <v>64</v>
      </c>
      <c r="H353">
        <v>36</v>
      </c>
      <c r="I353" t="str">
        <f>IFERROR(VLOOKUP(C353,Merchants!$A$2:$D$41,2,FALSE),"Merchant not found")</f>
        <v>Merchant_036</v>
      </c>
      <c r="J353" t="str">
        <f>IFERROR(VLOOKUP(C353,Merchants!$A$2:$D$41,3,FALSE),"Merchant not found")</f>
        <v>entertainment</v>
      </c>
      <c r="K353" t="str">
        <f>IFERROR(VLOOKUP(C353,Merchants!$A$2:$D$41,4,FALSE),"Merchant not found")</f>
        <v>East</v>
      </c>
      <c r="L353" s="2">
        <f>HLOOKUP(F353,Fee_lookup!$A$2:$E$3,2,FALSE)</f>
        <v>2.0000000000000001E-4</v>
      </c>
      <c r="M353" s="6">
        <f t="shared" si="15"/>
        <v>46041</v>
      </c>
      <c r="N353">
        <f t="shared" si="16"/>
        <v>4999</v>
      </c>
      <c r="O353" t="str">
        <f t="shared" si="17"/>
        <v>Normal Merchant Day</v>
      </c>
    </row>
    <row r="354" spans="1:15" x14ac:dyDescent="0.3">
      <c r="A354" t="s">
        <v>421</v>
      </c>
      <c r="B354">
        <v>231</v>
      </c>
      <c r="C354">
        <v>36</v>
      </c>
      <c r="D354" s="1">
        <v>46025.522222222222</v>
      </c>
      <c r="E354">
        <v>149</v>
      </c>
      <c r="F354" t="s">
        <v>66</v>
      </c>
      <c r="G354" t="s">
        <v>64</v>
      </c>
      <c r="H354">
        <v>35</v>
      </c>
      <c r="I354" t="str">
        <f>IFERROR(VLOOKUP(C354,Merchants!$A$2:$D$41,2,FALSE),"Merchant not found")</f>
        <v>Merchant_036</v>
      </c>
      <c r="J354" t="str">
        <f>IFERROR(VLOOKUP(C354,Merchants!$A$2:$D$41,3,FALSE),"Merchant not found")</f>
        <v>entertainment</v>
      </c>
      <c r="K354" t="str">
        <f>IFERROR(VLOOKUP(C354,Merchants!$A$2:$D$41,4,FALSE),"Merchant not found")</f>
        <v>East</v>
      </c>
      <c r="L354" s="2">
        <f>HLOOKUP(F354,Fee_lookup!$A$2:$E$3,2,FALSE)</f>
        <v>2.0000000000000001E-4</v>
      </c>
      <c r="M354" s="6">
        <f t="shared" si="15"/>
        <v>46025</v>
      </c>
      <c r="N354">
        <f t="shared" si="16"/>
        <v>248</v>
      </c>
      <c r="O354" t="str">
        <f t="shared" si="17"/>
        <v>Normal Merchant Day</v>
      </c>
    </row>
    <row r="355" spans="1:15" x14ac:dyDescent="0.3">
      <c r="A355" t="s">
        <v>422</v>
      </c>
      <c r="B355">
        <v>313</v>
      </c>
      <c r="C355">
        <v>8</v>
      </c>
      <c r="D355" s="1">
        <v>46049.821527777778</v>
      </c>
      <c r="E355">
        <v>1499</v>
      </c>
      <c r="F355" t="s">
        <v>69</v>
      </c>
      <c r="G355" t="s">
        <v>64</v>
      </c>
      <c r="H355">
        <v>16</v>
      </c>
      <c r="I355" t="str">
        <f>IFERROR(VLOOKUP(C355,Merchants!$A$2:$D$41,2,FALSE),"Merchant not found")</f>
        <v>Merchant_008</v>
      </c>
      <c r="J355" t="str">
        <f>IFERROR(VLOOKUP(C355,Merchants!$A$2:$D$41,3,FALSE),"Merchant not found")</f>
        <v>food_delivery</v>
      </c>
      <c r="K355" t="str">
        <f>IFERROR(VLOOKUP(C355,Merchants!$A$2:$D$41,4,FALSE),"Merchant not found")</f>
        <v>North</v>
      </c>
      <c r="L355" s="2">
        <f>HLOOKUP(F355,Fee_lookup!$A$2:$E$3,2,FALSE)</f>
        <v>0.01</v>
      </c>
      <c r="M355" s="6">
        <f t="shared" si="15"/>
        <v>46049</v>
      </c>
      <c r="N355">
        <f t="shared" si="16"/>
        <v>1499</v>
      </c>
      <c r="O355" t="str">
        <f t="shared" si="17"/>
        <v>Normal Merchant Day</v>
      </c>
    </row>
    <row r="356" spans="1:15" x14ac:dyDescent="0.3">
      <c r="A356" t="s">
        <v>423</v>
      </c>
      <c r="B356">
        <v>174</v>
      </c>
      <c r="C356">
        <v>36</v>
      </c>
      <c r="D356" s="1">
        <v>46026.515972222223</v>
      </c>
      <c r="E356">
        <v>149</v>
      </c>
      <c r="F356" t="s">
        <v>66</v>
      </c>
      <c r="G356" t="s">
        <v>64</v>
      </c>
      <c r="H356">
        <v>46</v>
      </c>
      <c r="I356" t="str">
        <f>IFERROR(VLOOKUP(C356,Merchants!$A$2:$D$41,2,FALSE),"Merchant not found")</f>
        <v>Merchant_036</v>
      </c>
      <c r="J356" t="str">
        <f>IFERROR(VLOOKUP(C356,Merchants!$A$2:$D$41,3,FALSE),"Merchant not found")</f>
        <v>entertainment</v>
      </c>
      <c r="K356" t="str">
        <f>IFERROR(VLOOKUP(C356,Merchants!$A$2:$D$41,4,FALSE),"Merchant not found")</f>
        <v>East</v>
      </c>
      <c r="L356" s="2">
        <f>HLOOKUP(F356,Fee_lookup!$A$2:$E$3,2,FALSE)</f>
        <v>2.0000000000000001E-4</v>
      </c>
      <c r="M356" s="6">
        <f t="shared" si="15"/>
        <v>46026</v>
      </c>
      <c r="N356">
        <f t="shared" si="16"/>
        <v>149</v>
      </c>
      <c r="O356" t="str">
        <f t="shared" si="17"/>
        <v>Normal Merchant Day</v>
      </c>
    </row>
    <row r="357" spans="1:15" x14ac:dyDescent="0.3">
      <c r="A357" t="s">
        <v>424</v>
      </c>
      <c r="B357">
        <v>309</v>
      </c>
      <c r="C357">
        <v>33</v>
      </c>
      <c r="D357" s="1">
        <v>46047.175000000003</v>
      </c>
      <c r="E357">
        <v>99</v>
      </c>
      <c r="F357" t="s">
        <v>66</v>
      </c>
      <c r="G357" t="s">
        <v>64</v>
      </c>
      <c r="H357">
        <v>51</v>
      </c>
      <c r="I357" t="str">
        <f>IFERROR(VLOOKUP(C357,Merchants!$A$2:$D$41,2,FALSE),"Merchant not found")</f>
        <v>Merchant_033</v>
      </c>
      <c r="J357" t="str">
        <f>IFERROR(VLOOKUP(C357,Merchants!$A$2:$D$41,3,FALSE),"Merchant not found")</f>
        <v>bill_payment</v>
      </c>
      <c r="K357" t="str">
        <f>IFERROR(VLOOKUP(C357,Merchants!$A$2:$D$41,4,FALSE),"Merchant not found")</f>
        <v>East</v>
      </c>
      <c r="L357" s="2">
        <f>HLOOKUP(F357,Fee_lookup!$A$2:$E$3,2,FALSE)</f>
        <v>2.0000000000000001E-4</v>
      </c>
      <c r="M357" s="6">
        <f t="shared" si="15"/>
        <v>46047</v>
      </c>
      <c r="N357">
        <f t="shared" si="16"/>
        <v>99</v>
      </c>
      <c r="O357" t="str">
        <f t="shared" si="17"/>
        <v>Normal Merchant Day</v>
      </c>
    </row>
    <row r="358" spans="1:15" x14ac:dyDescent="0.3">
      <c r="A358" t="s">
        <v>425</v>
      </c>
      <c r="B358">
        <v>20</v>
      </c>
      <c r="C358">
        <v>9</v>
      </c>
      <c r="D358" s="1">
        <v>46039.043055555558</v>
      </c>
      <c r="E358">
        <v>99</v>
      </c>
      <c r="F358" t="s">
        <v>66</v>
      </c>
      <c r="G358" t="s">
        <v>64</v>
      </c>
      <c r="H358">
        <v>91</v>
      </c>
      <c r="I358" t="str">
        <f>IFERROR(VLOOKUP(C358,Merchants!$A$2:$D$41,2,FALSE),"Merchant not found")</f>
        <v>Merchant_009</v>
      </c>
      <c r="J358" t="str">
        <f>IFERROR(VLOOKUP(C358,Merchants!$A$2:$D$41,3,FALSE),"Merchant not found")</f>
        <v>ecommerce</v>
      </c>
      <c r="K358" t="str">
        <f>IFERROR(VLOOKUP(C358,Merchants!$A$2:$D$41,4,FALSE),"Merchant not found")</f>
        <v>North</v>
      </c>
      <c r="L358" s="2">
        <f>HLOOKUP(F358,Fee_lookup!$A$2:$E$3,2,FALSE)</f>
        <v>2.0000000000000001E-4</v>
      </c>
      <c r="M358" s="6">
        <f t="shared" si="15"/>
        <v>46039</v>
      </c>
      <c r="N358">
        <f t="shared" si="16"/>
        <v>248</v>
      </c>
      <c r="O358" t="str">
        <f t="shared" si="17"/>
        <v>Normal Merchant Day</v>
      </c>
    </row>
    <row r="359" spans="1:15" x14ac:dyDescent="0.3">
      <c r="A359" t="s">
        <v>426</v>
      </c>
      <c r="B359">
        <v>234</v>
      </c>
      <c r="C359">
        <v>10</v>
      </c>
      <c r="D359" s="1">
        <v>46033.647916666669</v>
      </c>
      <c r="E359">
        <v>49</v>
      </c>
      <c r="F359" t="s">
        <v>66</v>
      </c>
      <c r="G359" t="s">
        <v>64</v>
      </c>
      <c r="H359">
        <v>77</v>
      </c>
      <c r="I359" t="str">
        <f>IFERROR(VLOOKUP(C359,Merchants!$A$2:$D$41,2,FALSE),"Merchant not found")</f>
        <v>Merchant_010</v>
      </c>
      <c r="J359" t="str">
        <f>IFERROR(VLOOKUP(C359,Merchants!$A$2:$D$41,3,FALSE),"Merchant not found")</f>
        <v>grocery</v>
      </c>
      <c r="K359" t="str">
        <f>IFERROR(VLOOKUP(C359,Merchants!$A$2:$D$41,4,FALSE),"Merchant not found")</f>
        <v>West</v>
      </c>
      <c r="L359" s="2">
        <f>HLOOKUP(F359,Fee_lookup!$A$2:$E$3,2,FALSE)</f>
        <v>2.0000000000000001E-4</v>
      </c>
      <c r="M359" s="6">
        <f t="shared" si="15"/>
        <v>46033</v>
      </c>
      <c r="N359">
        <f t="shared" si="16"/>
        <v>98</v>
      </c>
      <c r="O359" t="str">
        <f t="shared" si="17"/>
        <v>Normal Merchant Day</v>
      </c>
    </row>
    <row r="360" spans="1:15" x14ac:dyDescent="0.3">
      <c r="A360" t="s">
        <v>427</v>
      </c>
      <c r="B360">
        <v>168</v>
      </c>
      <c r="C360">
        <v>40</v>
      </c>
      <c r="D360" s="1">
        <v>46051.672222222223</v>
      </c>
      <c r="E360">
        <v>149</v>
      </c>
      <c r="F360" t="s">
        <v>66</v>
      </c>
      <c r="G360" t="s">
        <v>92</v>
      </c>
      <c r="H360">
        <v>40</v>
      </c>
      <c r="I360" t="str">
        <f>IFERROR(VLOOKUP(C360,Merchants!$A$2:$D$41,2,FALSE),"Merchant not found")</f>
        <v>Merchant_040</v>
      </c>
      <c r="J360" t="str">
        <f>IFERROR(VLOOKUP(C360,Merchants!$A$2:$D$41,3,FALSE),"Merchant not found")</f>
        <v>entertainment</v>
      </c>
      <c r="K360" t="str">
        <f>IFERROR(VLOOKUP(C360,Merchants!$A$2:$D$41,4,FALSE),"Merchant not found")</f>
        <v>South</v>
      </c>
      <c r="L360" s="2">
        <f>HLOOKUP(F360,Fee_lookup!$A$2:$E$3,2,FALSE)</f>
        <v>2.0000000000000001E-4</v>
      </c>
      <c r="M360" s="6">
        <f t="shared" si="15"/>
        <v>46051</v>
      </c>
      <c r="N360">
        <f t="shared" si="16"/>
        <v>149</v>
      </c>
      <c r="O360" t="str">
        <f t="shared" si="17"/>
        <v>Normal Merchant Day</v>
      </c>
    </row>
    <row r="361" spans="1:15" x14ac:dyDescent="0.3">
      <c r="A361" t="s">
        <v>428</v>
      </c>
      <c r="B361">
        <v>154</v>
      </c>
      <c r="C361">
        <v>38</v>
      </c>
      <c r="D361" s="1">
        <v>46028.527083333334</v>
      </c>
      <c r="E361">
        <v>99</v>
      </c>
      <c r="F361" t="s">
        <v>69</v>
      </c>
      <c r="G361" t="s">
        <v>64</v>
      </c>
      <c r="H361">
        <v>43</v>
      </c>
      <c r="I361" t="str">
        <f>IFERROR(VLOOKUP(C361,Merchants!$A$2:$D$41,2,FALSE),"Merchant not found")</f>
        <v>Merchant_038</v>
      </c>
      <c r="J361" t="str">
        <f>IFERROR(VLOOKUP(C361,Merchants!$A$2:$D$41,3,FALSE),"Merchant not found")</f>
        <v>grocery</v>
      </c>
      <c r="K361" t="str">
        <f>IFERROR(VLOOKUP(C361,Merchants!$A$2:$D$41,4,FALSE),"Merchant not found")</f>
        <v>East</v>
      </c>
      <c r="L361" s="2">
        <f>HLOOKUP(F361,Fee_lookup!$A$2:$E$3,2,FALSE)</f>
        <v>0.01</v>
      </c>
      <c r="M361" s="6">
        <f t="shared" si="15"/>
        <v>46028</v>
      </c>
      <c r="N361">
        <f t="shared" si="16"/>
        <v>99</v>
      </c>
      <c r="O361" t="str">
        <f t="shared" si="17"/>
        <v>Normal Merchant Day</v>
      </c>
    </row>
    <row r="362" spans="1:15" x14ac:dyDescent="0.3">
      <c r="A362" t="s">
        <v>429</v>
      </c>
      <c r="B362">
        <v>251</v>
      </c>
      <c r="C362">
        <v>37</v>
      </c>
      <c r="D362" s="1">
        <v>46039.69027777778</v>
      </c>
      <c r="E362">
        <v>49</v>
      </c>
      <c r="F362" t="s">
        <v>66</v>
      </c>
      <c r="G362" t="s">
        <v>64</v>
      </c>
      <c r="H362">
        <v>38</v>
      </c>
      <c r="I362" t="str">
        <f>IFERROR(VLOOKUP(C362,Merchants!$A$2:$D$41,2,FALSE),"Merchant not found")</f>
        <v>Merchant_037</v>
      </c>
      <c r="J362" t="str">
        <f>IFERROR(VLOOKUP(C362,Merchants!$A$2:$D$41,3,FALSE),"Merchant not found")</f>
        <v>entertainment</v>
      </c>
      <c r="K362" t="str">
        <f>IFERROR(VLOOKUP(C362,Merchants!$A$2:$D$41,4,FALSE),"Merchant not found")</f>
        <v>South</v>
      </c>
      <c r="L362" s="2">
        <f>HLOOKUP(F362,Fee_lookup!$A$2:$E$3,2,FALSE)</f>
        <v>2.0000000000000001E-4</v>
      </c>
      <c r="M362" s="6">
        <f t="shared" si="15"/>
        <v>46039</v>
      </c>
      <c r="N362">
        <f t="shared" si="16"/>
        <v>49</v>
      </c>
      <c r="O362" t="str">
        <f t="shared" si="17"/>
        <v>Normal Merchant Day</v>
      </c>
    </row>
    <row r="363" spans="1:15" x14ac:dyDescent="0.3">
      <c r="A363" t="s">
        <v>430</v>
      </c>
      <c r="B363">
        <v>170</v>
      </c>
      <c r="C363">
        <v>8</v>
      </c>
      <c r="D363" s="1">
        <v>46038.015972222223</v>
      </c>
      <c r="E363">
        <v>2999</v>
      </c>
      <c r="F363" t="s">
        <v>66</v>
      </c>
      <c r="G363" t="s">
        <v>64</v>
      </c>
      <c r="H363">
        <v>53</v>
      </c>
      <c r="I363" t="str">
        <f>IFERROR(VLOOKUP(C363,Merchants!$A$2:$D$41,2,FALSE),"Merchant not found")</f>
        <v>Merchant_008</v>
      </c>
      <c r="J363" t="str">
        <f>IFERROR(VLOOKUP(C363,Merchants!$A$2:$D$41,3,FALSE),"Merchant not found")</f>
        <v>food_delivery</v>
      </c>
      <c r="K363" t="str">
        <f>IFERROR(VLOOKUP(C363,Merchants!$A$2:$D$41,4,FALSE),"Merchant not found")</f>
        <v>North</v>
      </c>
      <c r="L363" s="2">
        <f>HLOOKUP(F363,Fee_lookup!$A$2:$E$3,2,FALSE)</f>
        <v>2.0000000000000001E-4</v>
      </c>
      <c r="M363" s="6">
        <f t="shared" si="15"/>
        <v>46038</v>
      </c>
      <c r="N363">
        <f t="shared" si="16"/>
        <v>2999</v>
      </c>
      <c r="O363" t="str">
        <f t="shared" si="17"/>
        <v>Normal Merchant Day</v>
      </c>
    </row>
    <row r="364" spans="1:15" x14ac:dyDescent="0.3">
      <c r="A364" t="s">
        <v>431</v>
      </c>
      <c r="B364">
        <v>323</v>
      </c>
      <c r="C364">
        <v>2</v>
      </c>
      <c r="D364" s="1">
        <v>46041.409722222219</v>
      </c>
      <c r="E364">
        <v>49</v>
      </c>
      <c r="F364" t="s">
        <v>69</v>
      </c>
      <c r="G364" t="s">
        <v>64</v>
      </c>
      <c r="H364">
        <v>76</v>
      </c>
      <c r="I364" t="str">
        <f>IFERROR(VLOOKUP(C364,Merchants!$A$2:$D$41,2,FALSE),"Merchant not found")</f>
        <v>Merchant_002</v>
      </c>
      <c r="J364" t="str">
        <f>IFERROR(VLOOKUP(C364,Merchants!$A$2:$D$41,3,FALSE),"Merchant not found")</f>
        <v>grocery</v>
      </c>
      <c r="K364" t="str">
        <f>IFERROR(VLOOKUP(C364,Merchants!$A$2:$D$41,4,FALSE),"Merchant not found")</f>
        <v>West</v>
      </c>
      <c r="L364" s="2">
        <f>HLOOKUP(F364,Fee_lookup!$A$2:$E$3,2,FALSE)</f>
        <v>0.01</v>
      </c>
      <c r="M364" s="6">
        <f t="shared" si="15"/>
        <v>46041</v>
      </c>
      <c r="N364">
        <f t="shared" si="16"/>
        <v>49</v>
      </c>
      <c r="O364" t="str">
        <f t="shared" si="17"/>
        <v>Normal Merchant Day</v>
      </c>
    </row>
    <row r="365" spans="1:15" x14ac:dyDescent="0.3">
      <c r="A365" t="s">
        <v>432</v>
      </c>
      <c r="B365">
        <v>297</v>
      </c>
      <c r="C365">
        <v>37</v>
      </c>
      <c r="D365" s="1">
        <v>46038.361805555556</v>
      </c>
      <c r="E365">
        <v>2999</v>
      </c>
      <c r="F365" t="s">
        <v>63</v>
      </c>
      <c r="G365" t="s">
        <v>64</v>
      </c>
      <c r="H365">
        <v>29</v>
      </c>
      <c r="I365" t="str">
        <f>IFERROR(VLOOKUP(C365,Merchants!$A$2:$D$41,2,FALSE),"Merchant not found")</f>
        <v>Merchant_037</v>
      </c>
      <c r="J365" t="str">
        <f>IFERROR(VLOOKUP(C365,Merchants!$A$2:$D$41,3,FALSE),"Merchant not found")</f>
        <v>entertainment</v>
      </c>
      <c r="K365" t="str">
        <f>IFERROR(VLOOKUP(C365,Merchants!$A$2:$D$41,4,FALSE),"Merchant not found")</f>
        <v>South</v>
      </c>
      <c r="L365" s="2">
        <f>HLOOKUP(F365,Fee_lookup!$A$2:$E$3,2,FALSE)</f>
        <v>5.0000000000000001E-4</v>
      </c>
      <c r="M365" s="6">
        <f t="shared" si="15"/>
        <v>46038</v>
      </c>
      <c r="N365">
        <f t="shared" si="16"/>
        <v>2999</v>
      </c>
      <c r="O365" t="str">
        <f t="shared" si="17"/>
        <v>Normal Merchant Day</v>
      </c>
    </row>
    <row r="366" spans="1:15" x14ac:dyDescent="0.3">
      <c r="A366" t="s">
        <v>433</v>
      </c>
      <c r="B366">
        <v>246</v>
      </c>
      <c r="C366">
        <v>11</v>
      </c>
      <c r="D366" s="1">
        <v>46046.067361111112</v>
      </c>
      <c r="E366">
        <v>299</v>
      </c>
      <c r="F366" t="s">
        <v>66</v>
      </c>
      <c r="G366" t="s">
        <v>64</v>
      </c>
      <c r="H366">
        <v>67</v>
      </c>
      <c r="I366" t="str">
        <f>IFERROR(VLOOKUP(C366,Merchants!$A$2:$D$41,2,FALSE),"Merchant not found")</f>
        <v>Merchant_011</v>
      </c>
      <c r="J366" t="str">
        <f>IFERROR(VLOOKUP(C366,Merchants!$A$2:$D$41,3,FALSE),"Merchant not found")</f>
        <v>ecommerce</v>
      </c>
      <c r="K366" t="str">
        <f>IFERROR(VLOOKUP(C366,Merchants!$A$2:$D$41,4,FALSE),"Merchant not found")</f>
        <v>North</v>
      </c>
      <c r="L366" s="2">
        <f>HLOOKUP(F366,Fee_lookup!$A$2:$E$3,2,FALSE)</f>
        <v>2.0000000000000001E-4</v>
      </c>
      <c r="M366" s="6">
        <f t="shared" si="15"/>
        <v>46046</v>
      </c>
      <c r="N366">
        <f t="shared" si="16"/>
        <v>1798</v>
      </c>
      <c r="O366" t="str">
        <f t="shared" si="17"/>
        <v>Normal Merchant Day</v>
      </c>
    </row>
    <row r="367" spans="1:15" x14ac:dyDescent="0.3">
      <c r="A367" t="s">
        <v>434</v>
      </c>
      <c r="B367">
        <v>195</v>
      </c>
      <c r="C367">
        <v>10</v>
      </c>
      <c r="D367" s="1">
        <v>46043.98541666667</v>
      </c>
      <c r="E367">
        <v>99</v>
      </c>
      <c r="F367" t="s">
        <v>66</v>
      </c>
      <c r="G367" t="s">
        <v>64</v>
      </c>
      <c r="H367">
        <v>87</v>
      </c>
      <c r="I367" t="str">
        <f>IFERROR(VLOOKUP(C367,Merchants!$A$2:$D$41,2,FALSE),"Merchant not found")</f>
        <v>Merchant_010</v>
      </c>
      <c r="J367" t="str">
        <f>IFERROR(VLOOKUP(C367,Merchants!$A$2:$D$41,3,FALSE),"Merchant not found")</f>
        <v>grocery</v>
      </c>
      <c r="K367" t="str">
        <f>IFERROR(VLOOKUP(C367,Merchants!$A$2:$D$41,4,FALSE),"Merchant not found")</f>
        <v>West</v>
      </c>
      <c r="L367" s="2">
        <f>HLOOKUP(F367,Fee_lookup!$A$2:$E$3,2,FALSE)</f>
        <v>2.0000000000000001E-4</v>
      </c>
      <c r="M367" s="6">
        <f t="shared" si="15"/>
        <v>46043</v>
      </c>
      <c r="N367">
        <f t="shared" si="16"/>
        <v>398</v>
      </c>
      <c r="O367" t="str">
        <f t="shared" si="17"/>
        <v>Normal Merchant Day</v>
      </c>
    </row>
    <row r="368" spans="1:15" x14ac:dyDescent="0.3">
      <c r="A368" t="s">
        <v>435</v>
      </c>
      <c r="B368">
        <v>57</v>
      </c>
      <c r="C368">
        <v>13</v>
      </c>
      <c r="D368" s="1">
        <v>46030.066666666666</v>
      </c>
      <c r="E368">
        <v>149</v>
      </c>
      <c r="F368" t="s">
        <v>66</v>
      </c>
      <c r="G368" t="s">
        <v>64</v>
      </c>
      <c r="H368">
        <v>2</v>
      </c>
      <c r="I368" t="str">
        <f>IFERROR(VLOOKUP(C368,Merchants!$A$2:$D$41,2,FALSE),"Merchant not found")</f>
        <v>Merchant_013</v>
      </c>
      <c r="J368" t="str">
        <f>IFERROR(VLOOKUP(C368,Merchants!$A$2:$D$41,3,FALSE),"Merchant not found")</f>
        <v>travel</v>
      </c>
      <c r="K368" t="str">
        <f>IFERROR(VLOOKUP(C368,Merchants!$A$2:$D$41,4,FALSE),"Merchant not found")</f>
        <v>East</v>
      </c>
      <c r="L368" s="2">
        <f>HLOOKUP(F368,Fee_lookup!$A$2:$E$3,2,FALSE)</f>
        <v>2.0000000000000001E-4</v>
      </c>
      <c r="M368" s="6">
        <f t="shared" si="15"/>
        <v>46030</v>
      </c>
      <c r="N368">
        <f t="shared" si="16"/>
        <v>149</v>
      </c>
      <c r="O368" t="str">
        <f t="shared" si="17"/>
        <v>Normal Merchant Day</v>
      </c>
    </row>
    <row r="369" spans="1:15" x14ac:dyDescent="0.3">
      <c r="A369" t="s">
        <v>436</v>
      </c>
      <c r="B369">
        <v>78</v>
      </c>
      <c r="C369">
        <v>27</v>
      </c>
      <c r="D369" s="1">
        <v>46037.43472222222</v>
      </c>
      <c r="E369">
        <v>1499</v>
      </c>
      <c r="F369" t="s">
        <v>69</v>
      </c>
      <c r="G369" t="s">
        <v>79</v>
      </c>
      <c r="H369">
        <v>88</v>
      </c>
      <c r="I369" t="str">
        <f>IFERROR(VLOOKUP(C369,Merchants!$A$2:$D$41,2,FALSE),"Merchant not found")</f>
        <v>Merchant_027</v>
      </c>
      <c r="J369" t="str">
        <f>IFERROR(VLOOKUP(C369,Merchants!$A$2:$D$41,3,FALSE),"Merchant not found")</f>
        <v>ecommerce</v>
      </c>
      <c r="K369" t="str">
        <f>IFERROR(VLOOKUP(C369,Merchants!$A$2:$D$41,4,FALSE),"Merchant not found")</f>
        <v>North</v>
      </c>
      <c r="L369" s="2">
        <f>HLOOKUP(F369,Fee_lookup!$A$2:$E$3,2,FALSE)</f>
        <v>0.01</v>
      </c>
      <c r="M369" s="6">
        <f t="shared" si="15"/>
        <v>46037</v>
      </c>
      <c r="N369">
        <f t="shared" si="16"/>
        <v>1499</v>
      </c>
      <c r="O369" t="str">
        <f t="shared" si="17"/>
        <v>Normal Merchant Day</v>
      </c>
    </row>
    <row r="370" spans="1:15" x14ac:dyDescent="0.3">
      <c r="A370" t="s">
        <v>437</v>
      </c>
      <c r="B370">
        <v>314</v>
      </c>
      <c r="C370">
        <v>31</v>
      </c>
      <c r="D370" s="1">
        <v>46029.563888888886</v>
      </c>
      <c r="E370">
        <v>49</v>
      </c>
      <c r="F370" t="s">
        <v>66</v>
      </c>
      <c r="G370" t="s">
        <v>92</v>
      </c>
      <c r="H370">
        <v>94</v>
      </c>
      <c r="I370" t="str">
        <f>IFERROR(VLOOKUP(C370,Merchants!$A$2:$D$41,2,FALSE),"Merchant not found")</f>
        <v>Merchant_031</v>
      </c>
      <c r="J370" t="str">
        <f>IFERROR(VLOOKUP(C370,Merchants!$A$2:$D$41,3,FALSE),"Merchant not found")</f>
        <v>bill_payment</v>
      </c>
      <c r="K370" t="str">
        <f>IFERROR(VLOOKUP(C370,Merchants!$A$2:$D$41,4,FALSE),"Merchant not found")</f>
        <v>East</v>
      </c>
      <c r="L370" s="2">
        <f>HLOOKUP(F370,Fee_lookup!$A$2:$E$3,2,FALSE)</f>
        <v>2.0000000000000001E-4</v>
      </c>
      <c r="M370" s="6">
        <f t="shared" si="15"/>
        <v>46029</v>
      </c>
      <c r="N370">
        <f t="shared" si="16"/>
        <v>49</v>
      </c>
      <c r="O370" t="str">
        <f t="shared" si="17"/>
        <v>Normal Merchant Day</v>
      </c>
    </row>
    <row r="371" spans="1:15" x14ac:dyDescent="0.3">
      <c r="A371" t="s">
        <v>438</v>
      </c>
      <c r="B371">
        <v>71</v>
      </c>
      <c r="C371">
        <v>34</v>
      </c>
      <c r="D371" s="1">
        <v>46046.072916666664</v>
      </c>
      <c r="E371">
        <v>499</v>
      </c>
      <c r="F371" t="s">
        <v>66</v>
      </c>
      <c r="G371" t="s">
        <v>64</v>
      </c>
      <c r="H371">
        <v>26</v>
      </c>
      <c r="I371" t="str">
        <f>IFERROR(VLOOKUP(C371,Merchants!$A$2:$D$41,2,FALSE),"Merchant not found")</f>
        <v>Merchant_034</v>
      </c>
      <c r="J371" t="str">
        <f>IFERROR(VLOOKUP(C371,Merchants!$A$2:$D$41,3,FALSE),"Merchant not found")</f>
        <v>travel</v>
      </c>
      <c r="K371" t="str">
        <f>IFERROR(VLOOKUP(C371,Merchants!$A$2:$D$41,4,FALSE),"Merchant not found")</f>
        <v>South</v>
      </c>
      <c r="L371" s="2">
        <f>HLOOKUP(F371,Fee_lookup!$A$2:$E$3,2,FALSE)</f>
        <v>2.0000000000000001E-4</v>
      </c>
      <c r="M371" s="6">
        <f t="shared" si="15"/>
        <v>46046</v>
      </c>
      <c r="N371">
        <f t="shared" si="16"/>
        <v>548</v>
      </c>
      <c r="O371" t="str">
        <f t="shared" si="17"/>
        <v>Normal Merchant Day</v>
      </c>
    </row>
    <row r="372" spans="1:15" x14ac:dyDescent="0.3">
      <c r="A372" t="s">
        <v>439</v>
      </c>
      <c r="B372">
        <v>245</v>
      </c>
      <c r="C372">
        <v>34</v>
      </c>
      <c r="D372" s="1">
        <v>46040.445833333331</v>
      </c>
      <c r="E372">
        <v>99</v>
      </c>
      <c r="F372" t="s">
        <v>66</v>
      </c>
      <c r="G372" t="s">
        <v>64</v>
      </c>
      <c r="H372">
        <v>48</v>
      </c>
      <c r="I372" t="str">
        <f>IFERROR(VLOOKUP(C372,Merchants!$A$2:$D$41,2,FALSE),"Merchant not found")</f>
        <v>Merchant_034</v>
      </c>
      <c r="J372" t="str">
        <f>IFERROR(VLOOKUP(C372,Merchants!$A$2:$D$41,3,FALSE),"Merchant not found")</f>
        <v>travel</v>
      </c>
      <c r="K372" t="str">
        <f>IFERROR(VLOOKUP(C372,Merchants!$A$2:$D$41,4,FALSE),"Merchant not found")</f>
        <v>South</v>
      </c>
      <c r="L372" s="2">
        <f>HLOOKUP(F372,Fee_lookup!$A$2:$E$3,2,FALSE)</f>
        <v>2.0000000000000001E-4</v>
      </c>
      <c r="M372" s="6">
        <f t="shared" si="15"/>
        <v>46040</v>
      </c>
      <c r="N372">
        <f t="shared" si="16"/>
        <v>148</v>
      </c>
      <c r="O372" t="str">
        <f t="shared" si="17"/>
        <v>Normal Merchant Day</v>
      </c>
    </row>
    <row r="373" spans="1:15" x14ac:dyDescent="0.3">
      <c r="A373" t="s">
        <v>440</v>
      </c>
      <c r="B373">
        <v>273</v>
      </c>
      <c r="C373">
        <v>22</v>
      </c>
      <c r="D373" s="1">
        <v>46033.228472222225</v>
      </c>
      <c r="E373">
        <v>299</v>
      </c>
      <c r="F373" t="s">
        <v>63</v>
      </c>
      <c r="G373" t="s">
        <v>64</v>
      </c>
      <c r="H373">
        <v>69</v>
      </c>
      <c r="I373" t="str">
        <f>IFERROR(VLOOKUP(C373,Merchants!$A$2:$D$41,2,FALSE),"Merchant not found")</f>
        <v>Merchant_022</v>
      </c>
      <c r="J373" t="str">
        <f>IFERROR(VLOOKUP(C373,Merchants!$A$2:$D$41,3,FALSE),"Merchant not found")</f>
        <v>travel</v>
      </c>
      <c r="K373" t="str">
        <f>IFERROR(VLOOKUP(C373,Merchants!$A$2:$D$41,4,FALSE),"Merchant not found")</f>
        <v>South</v>
      </c>
      <c r="L373" s="2">
        <f>HLOOKUP(F373,Fee_lookup!$A$2:$E$3,2,FALSE)</f>
        <v>5.0000000000000001E-4</v>
      </c>
      <c r="M373" s="6">
        <f t="shared" si="15"/>
        <v>46033</v>
      </c>
      <c r="N373">
        <f t="shared" si="16"/>
        <v>299</v>
      </c>
      <c r="O373" t="str">
        <f t="shared" si="17"/>
        <v>Normal Merchant Day</v>
      </c>
    </row>
    <row r="374" spans="1:15" x14ac:dyDescent="0.3">
      <c r="A374" t="s">
        <v>441</v>
      </c>
      <c r="B374">
        <v>349</v>
      </c>
      <c r="C374">
        <v>17</v>
      </c>
      <c r="D374" s="1">
        <v>46034.90902777778</v>
      </c>
      <c r="E374">
        <v>1499</v>
      </c>
      <c r="F374" t="s">
        <v>66</v>
      </c>
      <c r="G374" t="s">
        <v>64</v>
      </c>
      <c r="H374">
        <v>78</v>
      </c>
      <c r="I374" t="str">
        <f>IFERROR(VLOOKUP(C374,Merchants!$A$2:$D$41,2,FALSE),"Merchant not found")</f>
        <v>Merchant_017</v>
      </c>
      <c r="J374" t="str">
        <f>IFERROR(VLOOKUP(C374,Merchants!$A$2:$D$41,3,FALSE),"Merchant not found")</f>
        <v>grocery</v>
      </c>
      <c r="K374" t="str">
        <f>IFERROR(VLOOKUP(C374,Merchants!$A$2:$D$41,4,FALSE),"Merchant not found")</f>
        <v>North</v>
      </c>
      <c r="L374" s="2">
        <f>HLOOKUP(F374,Fee_lookup!$A$2:$E$3,2,FALSE)</f>
        <v>2.0000000000000001E-4</v>
      </c>
      <c r="M374" s="6">
        <f t="shared" si="15"/>
        <v>46034</v>
      </c>
      <c r="N374">
        <f t="shared" si="16"/>
        <v>1499</v>
      </c>
      <c r="O374" t="str">
        <f t="shared" si="17"/>
        <v>Normal Merchant Day</v>
      </c>
    </row>
    <row r="375" spans="1:15" x14ac:dyDescent="0.3">
      <c r="A375" t="s">
        <v>442</v>
      </c>
      <c r="B375">
        <v>143</v>
      </c>
      <c r="C375">
        <v>36</v>
      </c>
      <c r="D375" s="1">
        <v>46038.260416666664</v>
      </c>
      <c r="E375">
        <v>1499</v>
      </c>
      <c r="F375" t="s">
        <v>69</v>
      </c>
      <c r="G375" t="s">
        <v>64</v>
      </c>
      <c r="H375">
        <v>38</v>
      </c>
      <c r="I375" t="str">
        <f>IFERROR(VLOOKUP(C375,Merchants!$A$2:$D$41,2,FALSE),"Merchant not found")</f>
        <v>Merchant_036</v>
      </c>
      <c r="J375" t="str">
        <f>IFERROR(VLOOKUP(C375,Merchants!$A$2:$D$41,3,FALSE),"Merchant not found")</f>
        <v>entertainment</v>
      </c>
      <c r="K375" t="str">
        <f>IFERROR(VLOOKUP(C375,Merchants!$A$2:$D$41,4,FALSE),"Merchant not found")</f>
        <v>East</v>
      </c>
      <c r="L375" s="2">
        <f>HLOOKUP(F375,Fee_lookup!$A$2:$E$3,2,FALSE)</f>
        <v>0.01</v>
      </c>
      <c r="M375" s="6">
        <f t="shared" si="15"/>
        <v>46038</v>
      </c>
      <c r="N375">
        <f t="shared" si="16"/>
        <v>1499</v>
      </c>
      <c r="O375" t="str">
        <f t="shared" si="17"/>
        <v>Normal Merchant Day</v>
      </c>
    </row>
    <row r="376" spans="1:15" x14ac:dyDescent="0.3">
      <c r="A376" t="s">
        <v>443</v>
      </c>
      <c r="B376">
        <v>148</v>
      </c>
      <c r="C376">
        <v>14</v>
      </c>
      <c r="D376" s="1">
        <v>46030.40902777778</v>
      </c>
      <c r="E376">
        <v>799</v>
      </c>
      <c r="F376" t="s">
        <v>63</v>
      </c>
      <c r="G376" t="s">
        <v>64</v>
      </c>
      <c r="H376">
        <v>88</v>
      </c>
      <c r="I376" t="str">
        <f>IFERROR(VLOOKUP(C376,Merchants!$A$2:$D$41,2,FALSE),"Merchant not found")</f>
        <v>Merchant_014</v>
      </c>
      <c r="J376" t="str">
        <f>IFERROR(VLOOKUP(C376,Merchants!$A$2:$D$41,3,FALSE),"Merchant not found")</f>
        <v>grocery</v>
      </c>
      <c r="K376" t="str">
        <f>IFERROR(VLOOKUP(C376,Merchants!$A$2:$D$41,4,FALSE),"Merchant not found")</f>
        <v>East</v>
      </c>
      <c r="L376" s="2">
        <f>HLOOKUP(F376,Fee_lookup!$A$2:$E$3,2,FALSE)</f>
        <v>5.0000000000000001E-4</v>
      </c>
      <c r="M376" s="6">
        <f t="shared" si="15"/>
        <v>46030</v>
      </c>
      <c r="N376">
        <f t="shared" si="16"/>
        <v>799</v>
      </c>
      <c r="O376" t="str">
        <f t="shared" si="17"/>
        <v>Normal Merchant Day</v>
      </c>
    </row>
    <row r="377" spans="1:15" x14ac:dyDescent="0.3">
      <c r="A377" t="s">
        <v>444</v>
      </c>
      <c r="B377">
        <v>246</v>
      </c>
      <c r="C377">
        <v>23</v>
      </c>
      <c r="D377" s="1">
        <v>46045.638888888891</v>
      </c>
      <c r="E377">
        <v>49</v>
      </c>
      <c r="F377" t="s">
        <v>66</v>
      </c>
      <c r="G377" t="s">
        <v>64</v>
      </c>
      <c r="H377">
        <v>71</v>
      </c>
      <c r="I377" t="str">
        <f>IFERROR(VLOOKUP(C377,Merchants!$A$2:$D$41,2,FALSE),"Merchant not found")</f>
        <v>Merchant_023</v>
      </c>
      <c r="J377" t="str">
        <f>IFERROR(VLOOKUP(C377,Merchants!$A$2:$D$41,3,FALSE),"Merchant not found")</f>
        <v>travel</v>
      </c>
      <c r="K377" t="str">
        <f>IFERROR(VLOOKUP(C377,Merchants!$A$2:$D$41,4,FALSE),"Merchant not found")</f>
        <v>North</v>
      </c>
      <c r="L377" s="2">
        <f>HLOOKUP(F377,Fee_lookup!$A$2:$E$3,2,FALSE)</f>
        <v>2.0000000000000001E-4</v>
      </c>
      <c r="M377" s="6">
        <f t="shared" si="15"/>
        <v>46045</v>
      </c>
      <c r="N377">
        <f t="shared" si="16"/>
        <v>247</v>
      </c>
      <c r="O377" t="str">
        <f t="shared" si="17"/>
        <v>Normal Merchant Day</v>
      </c>
    </row>
    <row r="378" spans="1:15" x14ac:dyDescent="0.3">
      <c r="A378" t="s">
        <v>445</v>
      </c>
      <c r="B378">
        <v>148</v>
      </c>
      <c r="C378">
        <v>8</v>
      </c>
      <c r="D378" s="1">
        <v>46052.970138888886</v>
      </c>
      <c r="E378">
        <v>99</v>
      </c>
      <c r="F378" t="s">
        <v>63</v>
      </c>
      <c r="G378" t="s">
        <v>64</v>
      </c>
      <c r="H378">
        <v>73</v>
      </c>
      <c r="I378" t="str">
        <f>IFERROR(VLOOKUP(C378,Merchants!$A$2:$D$41,2,FALSE),"Merchant not found")</f>
        <v>Merchant_008</v>
      </c>
      <c r="J378" t="str">
        <f>IFERROR(VLOOKUP(C378,Merchants!$A$2:$D$41,3,FALSE),"Merchant not found")</f>
        <v>food_delivery</v>
      </c>
      <c r="K378" t="str">
        <f>IFERROR(VLOOKUP(C378,Merchants!$A$2:$D$41,4,FALSE),"Merchant not found")</f>
        <v>North</v>
      </c>
      <c r="L378" s="2">
        <f>HLOOKUP(F378,Fee_lookup!$A$2:$E$3,2,FALSE)</f>
        <v>5.0000000000000001E-4</v>
      </c>
      <c r="M378" s="6">
        <f t="shared" si="15"/>
        <v>46052</v>
      </c>
      <c r="N378">
        <f t="shared" si="16"/>
        <v>99</v>
      </c>
      <c r="O378" t="str">
        <f t="shared" si="17"/>
        <v>Normal Merchant Day</v>
      </c>
    </row>
    <row r="379" spans="1:15" x14ac:dyDescent="0.3">
      <c r="A379" t="s">
        <v>446</v>
      </c>
      <c r="B379">
        <v>203</v>
      </c>
      <c r="C379">
        <v>23</v>
      </c>
      <c r="D379" s="1">
        <v>46044.724999999999</v>
      </c>
      <c r="E379">
        <v>49</v>
      </c>
      <c r="F379" t="s">
        <v>66</v>
      </c>
      <c r="G379" t="s">
        <v>64</v>
      </c>
      <c r="H379">
        <v>98</v>
      </c>
      <c r="I379" t="str">
        <f>IFERROR(VLOOKUP(C379,Merchants!$A$2:$D$41,2,FALSE),"Merchant not found")</f>
        <v>Merchant_023</v>
      </c>
      <c r="J379" t="str">
        <f>IFERROR(VLOOKUP(C379,Merchants!$A$2:$D$41,3,FALSE),"Merchant not found")</f>
        <v>travel</v>
      </c>
      <c r="K379" t="str">
        <f>IFERROR(VLOOKUP(C379,Merchants!$A$2:$D$41,4,FALSE),"Merchant not found")</f>
        <v>North</v>
      </c>
      <c r="L379" s="2">
        <f>HLOOKUP(F379,Fee_lookup!$A$2:$E$3,2,FALSE)</f>
        <v>2.0000000000000001E-4</v>
      </c>
      <c r="M379" s="6">
        <f t="shared" si="15"/>
        <v>46044</v>
      </c>
      <c r="N379">
        <f t="shared" si="16"/>
        <v>49</v>
      </c>
      <c r="O379" t="str">
        <f t="shared" si="17"/>
        <v>Normal Merchant Day</v>
      </c>
    </row>
    <row r="380" spans="1:15" x14ac:dyDescent="0.3">
      <c r="A380" t="s">
        <v>447</v>
      </c>
      <c r="B380">
        <v>22</v>
      </c>
      <c r="C380">
        <v>19</v>
      </c>
      <c r="D380" s="1">
        <v>46048.179166666669</v>
      </c>
      <c r="E380">
        <v>49</v>
      </c>
      <c r="F380" t="s">
        <v>78</v>
      </c>
      <c r="G380" t="s">
        <v>64</v>
      </c>
      <c r="H380">
        <v>91</v>
      </c>
      <c r="I380" t="str">
        <f>IFERROR(VLOOKUP(C380,Merchants!$A$2:$D$41,2,FALSE),"Merchant not found")</f>
        <v>Merchant_019</v>
      </c>
      <c r="J380" t="str">
        <f>IFERROR(VLOOKUP(C380,Merchants!$A$2:$D$41,3,FALSE),"Merchant not found")</f>
        <v>grocery</v>
      </c>
      <c r="K380" t="str">
        <f>IFERROR(VLOOKUP(C380,Merchants!$A$2:$D$41,4,FALSE),"Merchant not found")</f>
        <v>North</v>
      </c>
      <c r="L380" s="2">
        <f>HLOOKUP(F380,Fee_lookup!$A$2:$E$3,2,FALSE)</f>
        <v>1.4999999999999999E-2</v>
      </c>
      <c r="M380" s="6">
        <f t="shared" si="15"/>
        <v>46048</v>
      </c>
      <c r="N380">
        <f t="shared" si="16"/>
        <v>49</v>
      </c>
      <c r="O380" t="str">
        <f t="shared" si="17"/>
        <v>Normal Merchant Day</v>
      </c>
    </row>
    <row r="381" spans="1:15" x14ac:dyDescent="0.3">
      <c r="A381" t="s">
        <v>448</v>
      </c>
      <c r="B381">
        <v>227</v>
      </c>
      <c r="C381">
        <v>17</v>
      </c>
      <c r="D381" s="1">
        <v>46025.499305555553</v>
      </c>
      <c r="E381">
        <v>299</v>
      </c>
      <c r="F381" t="s">
        <v>63</v>
      </c>
      <c r="G381" t="s">
        <v>64</v>
      </c>
      <c r="H381">
        <v>95</v>
      </c>
      <c r="I381" t="str">
        <f>IFERROR(VLOOKUP(C381,Merchants!$A$2:$D$41,2,FALSE),"Merchant not found")</f>
        <v>Merchant_017</v>
      </c>
      <c r="J381" t="str">
        <f>IFERROR(VLOOKUP(C381,Merchants!$A$2:$D$41,3,FALSE),"Merchant not found")</f>
        <v>grocery</v>
      </c>
      <c r="K381" t="str">
        <f>IFERROR(VLOOKUP(C381,Merchants!$A$2:$D$41,4,FALSE),"Merchant not found")</f>
        <v>North</v>
      </c>
      <c r="L381" s="2">
        <f>HLOOKUP(F381,Fee_lookup!$A$2:$E$3,2,FALSE)</f>
        <v>5.0000000000000001E-4</v>
      </c>
      <c r="M381" s="6">
        <f t="shared" si="15"/>
        <v>46025</v>
      </c>
      <c r="N381">
        <f t="shared" si="16"/>
        <v>398</v>
      </c>
      <c r="O381" t="str">
        <f t="shared" si="17"/>
        <v>Normal Merchant Day</v>
      </c>
    </row>
    <row r="382" spans="1:15" x14ac:dyDescent="0.3">
      <c r="A382" t="s">
        <v>449</v>
      </c>
      <c r="B382">
        <v>276</v>
      </c>
      <c r="C382">
        <v>18</v>
      </c>
      <c r="D382" s="1">
        <v>46038.258333333331</v>
      </c>
      <c r="E382">
        <v>149</v>
      </c>
      <c r="F382" t="s">
        <v>63</v>
      </c>
      <c r="G382" t="s">
        <v>64</v>
      </c>
      <c r="H382">
        <v>71</v>
      </c>
      <c r="I382" t="str">
        <f>IFERROR(VLOOKUP(C382,Merchants!$A$2:$D$41,2,FALSE),"Merchant not found")</f>
        <v>Merchant_018</v>
      </c>
      <c r="J382" t="str">
        <f>IFERROR(VLOOKUP(C382,Merchants!$A$2:$D$41,3,FALSE),"Merchant not found")</f>
        <v>grocery</v>
      </c>
      <c r="K382" t="str">
        <f>IFERROR(VLOOKUP(C382,Merchants!$A$2:$D$41,4,FALSE),"Merchant not found")</f>
        <v>West</v>
      </c>
      <c r="L382" s="2">
        <f>HLOOKUP(F382,Fee_lookup!$A$2:$E$3,2,FALSE)</f>
        <v>5.0000000000000001E-4</v>
      </c>
      <c r="M382" s="6">
        <f t="shared" si="15"/>
        <v>46038</v>
      </c>
      <c r="N382">
        <f t="shared" si="16"/>
        <v>3148</v>
      </c>
      <c r="O382" t="str">
        <f t="shared" si="17"/>
        <v>Normal Merchant Day</v>
      </c>
    </row>
    <row r="383" spans="1:15" x14ac:dyDescent="0.3">
      <c r="A383" t="s">
        <v>450</v>
      </c>
      <c r="B383">
        <v>56</v>
      </c>
      <c r="C383">
        <v>40</v>
      </c>
      <c r="D383" s="1">
        <v>46045.338888888888</v>
      </c>
      <c r="E383">
        <v>99</v>
      </c>
      <c r="F383" t="s">
        <v>78</v>
      </c>
      <c r="G383" t="s">
        <v>64</v>
      </c>
      <c r="H383">
        <v>94</v>
      </c>
      <c r="I383" t="str">
        <f>IFERROR(VLOOKUP(C383,Merchants!$A$2:$D$41,2,FALSE),"Merchant not found")</f>
        <v>Merchant_040</v>
      </c>
      <c r="J383" t="str">
        <f>IFERROR(VLOOKUP(C383,Merchants!$A$2:$D$41,3,FALSE),"Merchant not found")</f>
        <v>entertainment</v>
      </c>
      <c r="K383" t="str">
        <f>IFERROR(VLOOKUP(C383,Merchants!$A$2:$D$41,4,FALSE),"Merchant not found")</f>
        <v>South</v>
      </c>
      <c r="L383" s="2">
        <f>HLOOKUP(F383,Fee_lookup!$A$2:$E$3,2,FALSE)</f>
        <v>1.4999999999999999E-2</v>
      </c>
      <c r="M383" s="6">
        <f t="shared" si="15"/>
        <v>46045</v>
      </c>
      <c r="N383">
        <f t="shared" si="16"/>
        <v>598</v>
      </c>
      <c r="O383" t="str">
        <f t="shared" si="17"/>
        <v>Normal Merchant Day</v>
      </c>
    </row>
    <row r="384" spans="1:15" x14ac:dyDescent="0.3">
      <c r="A384" t="s">
        <v>451</v>
      </c>
      <c r="B384">
        <v>26</v>
      </c>
      <c r="C384">
        <v>34</v>
      </c>
      <c r="D384" s="1">
        <v>46041.302083333336</v>
      </c>
      <c r="E384">
        <v>499</v>
      </c>
      <c r="F384" t="s">
        <v>78</v>
      </c>
      <c r="G384" t="s">
        <v>64</v>
      </c>
      <c r="H384">
        <v>28</v>
      </c>
      <c r="I384" t="str">
        <f>IFERROR(VLOOKUP(C384,Merchants!$A$2:$D$41,2,FALSE),"Merchant not found")</f>
        <v>Merchant_034</v>
      </c>
      <c r="J384" t="str">
        <f>IFERROR(VLOOKUP(C384,Merchants!$A$2:$D$41,3,FALSE),"Merchant not found")</f>
        <v>travel</v>
      </c>
      <c r="K384" t="str">
        <f>IFERROR(VLOOKUP(C384,Merchants!$A$2:$D$41,4,FALSE),"Merchant not found")</f>
        <v>South</v>
      </c>
      <c r="L384" s="2">
        <f>HLOOKUP(F384,Fee_lookup!$A$2:$E$3,2,FALSE)</f>
        <v>1.4999999999999999E-2</v>
      </c>
      <c r="M384" s="6">
        <f t="shared" si="15"/>
        <v>46041</v>
      </c>
      <c r="N384">
        <f t="shared" si="16"/>
        <v>499</v>
      </c>
      <c r="O384" t="str">
        <f t="shared" si="17"/>
        <v>Normal Merchant Day</v>
      </c>
    </row>
    <row r="385" spans="1:15" x14ac:dyDescent="0.3">
      <c r="A385" t="s">
        <v>452</v>
      </c>
      <c r="B385">
        <v>52</v>
      </c>
      <c r="C385">
        <v>27</v>
      </c>
      <c r="D385" s="1">
        <v>46043.293749999997</v>
      </c>
      <c r="E385">
        <v>499</v>
      </c>
      <c r="F385" t="s">
        <v>78</v>
      </c>
      <c r="G385" t="s">
        <v>64</v>
      </c>
      <c r="H385">
        <v>42</v>
      </c>
      <c r="I385" t="str">
        <f>IFERROR(VLOOKUP(C385,Merchants!$A$2:$D$41,2,FALSE),"Merchant not found")</f>
        <v>Merchant_027</v>
      </c>
      <c r="J385" t="str">
        <f>IFERROR(VLOOKUP(C385,Merchants!$A$2:$D$41,3,FALSE),"Merchant not found")</f>
        <v>ecommerce</v>
      </c>
      <c r="K385" t="str">
        <f>IFERROR(VLOOKUP(C385,Merchants!$A$2:$D$41,4,FALSE),"Merchant not found")</f>
        <v>North</v>
      </c>
      <c r="L385" s="2">
        <f>HLOOKUP(F385,Fee_lookup!$A$2:$E$3,2,FALSE)</f>
        <v>1.4999999999999999E-2</v>
      </c>
      <c r="M385" s="6">
        <f t="shared" si="15"/>
        <v>46043</v>
      </c>
      <c r="N385">
        <f t="shared" si="16"/>
        <v>499</v>
      </c>
      <c r="O385" t="str">
        <f t="shared" si="17"/>
        <v>Normal Merchant Day</v>
      </c>
    </row>
    <row r="386" spans="1:15" x14ac:dyDescent="0.3">
      <c r="A386" t="s">
        <v>453</v>
      </c>
      <c r="B386">
        <v>349</v>
      </c>
      <c r="C386">
        <v>9</v>
      </c>
      <c r="D386" s="1">
        <v>46045.629166666666</v>
      </c>
      <c r="E386">
        <v>499</v>
      </c>
      <c r="F386" t="s">
        <v>63</v>
      </c>
      <c r="G386" t="s">
        <v>64</v>
      </c>
      <c r="H386">
        <v>0</v>
      </c>
      <c r="I386" t="str">
        <f>IFERROR(VLOOKUP(C386,Merchants!$A$2:$D$41,2,FALSE),"Merchant not found")</f>
        <v>Merchant_009</v>
      </c>
      <c r="J386" t="str">
        <f>IFERROR(VLOOKUP(C386,Merchants!$A$2:$D$41,3,FALSE),"Merchant not found")</f>
        <v>ecommerce</v>
      </c>
      <c r="K386" t="str">
        <f>IFERROR(VLOOKUP(C386,Merchants!$A$2:$D$41,4,FALSE),"Merchant not found")</f>
        <v>North</v>
      </c>
      <c r="L386" s="2">
        <f>HLOOKUP(F386,Fee_lookup!$A$2:$E$3,2,FALSE)</f>
        <v>5.0000000000000001E-4</v>
      </c>
      <c r="M386" s="6">
        <f t="shared" si="15"/>
        <v>46045</v>
      </c>
      <c r="N386">
        <f t="shared" si="16"/>
        <v>898</v>
      </c>
      <c r="O386" t="str">
        <f t="shared" si="17"/>
        <v>Normal Merchant Day</v>
      </c>
    </row>
    <row r="387" spans="1:15" x14ac:dyDescent="0.3">
      <c r="A387" t="s">
        <v>454</v>
      </c>
      <c r="B387">
        <v>335</v>
      </c>
      <c r="C387">
        <v>31</v>
      </c>
      <c r="D387" s="1">
        <v>46040.226388888892</v>
      </c>
      <c r="E387">
        <v>49</v>
      </c>
      <c r="F387" t="s">
        <v>78</v>
      </c>
      <c r="G387" t="s">
        <v>64</v>
      </c>
      <c r="H387">
        <v>61</v>
      </c>
      <c r="I387" t="str">
        <f>IFERROR(VLOOKUP(C387,Merchants!$A$2:$D$41,2,FALSE),"Merchant not found")</f>
        <v>Merchant_031</v>
      </c>
      <c r="J387" t="str">
        <f>IFERROR(VLOOKUP(C387,Merchants!$A$2:$D$41,3,FALSE),"Merchant not found")</f>
        <v>bill_payment</v>
      </c>
      <c r="K387" t="str">
        <f>IFERROR(VLOOKUP(C387,Merchants!$A$2:$D$41,4,FALSE),"Merchant not found")</f>
        <v>East</v>
      </c>
      <c r="L387" s="2">
        <f>HLOOKUP(F387,Fee_lookup!$A$2:$E$3,2,FALSE)</f>
        <v>1.4999999999999999E-2</v>
      </c>
      <c r="M387" s="6">
        <f t="shared" ref="M387:M450" si="18">INT(D387)</f>
        <v>46040</v>
      </c>
      <c r="N387">
        <f t="shared" ref="N387:N450" si="19">SUMIFS($E:$E,$C:$C,C387,$M:$M,M387)</f>
        <v>49</v>
      </c>
      <c r="O387" t="str">
        <f t="shared" ref="O387:O450" si="20">IF(AND(N387&gt;5000,K387&lt;&gt;"East"),"High-Value Merchant Day","Normal Merchant Day")</f>
        <v>Normal Merchant Day</v>
      </c>
    </row>
    <row r="388" spans="1:15" x14ac:dyDescent="0.3">
      <c r="A388" t="s">
        <v>455</v>
      </c>
      <c r="B388">
        <v>148</v>
      </c>
      <c r="C388">
        <v>21</v>
      </c>
      <c r="D388" s="1">
        <v>46043.283333333333</v>
      </c>
      <c r="E388">
        <v>49</v>
      </c>
      <c r="F388" t="s">
        <v>78</v>
      </c>
      <c r="G388" t="s">
        <v>64</v>
      </c>
      <c r="H388">
        <v>36</v>
      </c>
      <c r="I388" t="str">
        <f>IFERROR(VLOOKUP(C388,Merchants!$A$2:$D$41,2,FALSE),"Merchant not found")</f>
        <v>Merchant_021</v>
      </c>
      <c r="J388" t="str">
        <f>IFERROR(VLOOKUP(C388,Merchants!$A$2:$D$41,3,FALSE),"Merchant not found")</f>
        <v>food_delivery</v>
      </c>
      <c r="K388" t="str">
        <f>IFERROR(VLOOKUP(C388,Merchants!$A$2:$D$41,4,FALSE),"Merchant not found")</f>
        <v>East</v>
      </c>
      <c r="L388" s="2">
        <f>HLOOKUP(F388,Fee_lookup!$A$2:$E$3,2,FALSE)</f>
        <v>1.4999999999999999E-2</v>
      </c>
      <c r="M388" s="6">
        <f t="shared" si="18"/>
        <v>46043</v>
      </c>
      <c r="N388">
        <f t="shared" si="19"/>
        <v>49</v>
      </c>
      <c r="O388" t="str">
        <f t="shared" si="20"/>
        <v>Normal Merchant Day</v>
      </c>
    </row>
    <row r="389" spans="1:15" x14ac:dyDescent="0.3">
      <c r="A389" t="s">
        <v>456</v>
      </c>
      <c r="B389">
        <v>46</v>
      </c>
      <c r="C389">
        <v>37</v>
      </c>
      <c r="D389" s="1">
        <v>46043.081944444442</v>
      </c>
      <c r="E389">
        <v>99</v>
      </c>
      <c r="F389" t="s">
        <v>63</v>
      </c>
      <c r="G389" t="s">
        <v>64</v>
      </c>
      <c r="H389">
        <v>29</v>
      </c>
      <c r="I389" t="str">
        <f>IFERROR(VLOOKUP(C389,Merchants!$A$2:$D$41,2,FALSE),"Merchant not found")</f>
        <v>Merchant_037</v>
      </c>
      <c r="J389" t="str">
        <f>IFERROR(VLOOKUP(C389,Merchants!$A$2:$D$41,3,FALSE),"Merchant not found")</f>
        <v>entertainment</v>
      </c>
      <c r="K389" t="str">
        <f>IFERROR(VLOOKUP(C389,Merchants!$A$2:$D$41,4,FALSE),"Merchant not found")</f>
        <v>South</v>
      </c>
      <c r="L389" s="2">
        <f>HLOOKUP(F389,Fee_lookup!$A$2:$E$3,2,FALSE)</f>
        <v>5.0000000000000001E-4</v>
      </c>
      <c r="M389" s="6">
        <f t="shared" si="18"/>
        <v>46043</v>
      </c>
      <c r="N389">
        <f t="shared" si="19"/>
        <v>99</v>
      </c>
      <c r="O389" t="str">
        <f t="shared" si="20"/>
        <v>Normal Merchant Day</v>
      </c>
    </row>
    <row r="390" spans="1:15" x14ac:dyDescent="0.3">
      <c r="A390" t="s">
        <v>457</v>
      </c>
      <c r="B390">
        <v>20</v>
      </c>
      <c r="C390">
        <v>12</v>
      </c>
      <c r="D390" s="1">
        <v>46040.990277777775</v>
      </c>
      <c r="E390">
        <v>799</v>
      </c>
      <c r="F390" t="s">
        <v>78</v>
      </c>
      <c r="G390" t="s">
        <v>64</v>
      </c>
      <c r="H390">
        <v>53</v>
      </c>
      <c r="I390" t="str">
        <f>IFERROR(VLOOKUP(C390,Merchants!$A$2:$D$41,2,FALSE),"Merchant not found")</f>
        <v>Merchant_012</v>
      </c>
      <c r="J390" t="str">
        <f>IFERROR(VLOOKUP(C390,Merchants!$A$2:$D$41,3,FALSE),"Merchant not found")</f>
        <v>ecommerce</v>
      </c>
      <c r="K390" t="str">
        <f>IFERROR(VLOOKUP(C390,Merchants!$A$2:$D$41,4,FALSE),"Merchant not found")</f>
        <v>East</v>
      </c>
      <c r="L390" s="2">
        <f>HLOOKUP(F390,Fee_lookup!$A$2:$E$3,2,FALSE)</f>
        <v>1.4999999999999999E-2</v>
      </c>
      <c r="M390" s="6">
        <f t="shared" si="18"/>
        <v>46040</v>
      </c>
      <c r="N390">
        <f t="shared" si="19"/>
        <v>799</v>
      </c>
      <c r="O390" t="str">
        <f t="shared" si="20"/>
        <v>Normal Merchant Day</v>
      </c>
    </row>
    <row r="391" spans="1:15" x14ac:dyDescent="0.3">
      <c r="A391" t="s">
        <v>458</v>
      </c>
      <c r="B391">
        <v>19</v>
      </c>
      <c r="C391">
        <v>26</v>
      </c>
      <c r="D391" s="1">
        <v>46051.249305555553</v>
      </c>
      <c r="E391">
        <v>49</v>
      </c>
      <c r="F391" t="s">
        <v>66</v>
      </c>
      <c r="G391" t="s">
        <v>64</v>
      </c>
      <c r="H391">
        <v>100</v>
      </c>
      <c r="I391" t="str">
        <f>IFERROR(VLOOKUP(C391,Merchants!$A$2:$D$41,2,FALSE),"Merchant not found")</f>
        <v>Merchant_026</v>
      </c>
      <c r="J391" t="str">
        <f>IFERROR(VLOOKUP(C391,Merchants!$A$2:$D$41,3,FALSE),"Merchant not found")</f>
        <v>food_delivery</v>
      </c>
      <c r="K391" t="str">
        <f>IFERROR(VLOOKUP(C391,Merchants!$A$2:$D$41,4,FALSE),"Merchant not found")</f>
        <v>East</v>
      </c>
      <c r="L391" s="2">
        <f>HLOOKUP(F391,Fee_lookup!$A$2:$E$3,2,FALSE)</f>
        <v>2.0000000000000001E-4</v>
      </c>
      <c r="M391" s="6">
        <f t="shared" si="18"/>
        <v>46051</v>
      </c>
      <c r="N391">
        <f t="shared" si="19"/>
        <v>148</v>
      </c>
      <c r="O391" t="str">
        <f t="shared" si="20"/>
        <v>Normal Merchant Day</v>
      </c>
    </row>
    <row r="392" spans="1:15" x14ac:dyDescent="0.3">
      <c r="A392" t="s">
        <v>459</v>
      </c>
      <c r="B392">
        <v>149</v>
      </c>
      <c r="C392">
        <v>3</v>
      </c>
      <c r="D392" s="1">
        <v>46038.249305555553</v>
      </c>
      <c r="E392">
        <v>4999</v>
      </c>
      <c r="F392" t="s">
        <v>63</v>
      </c>
      <c r="G392" t="s">
        <v>64</v>
      </c>
      <c r="H392">
        <v>1</v>
      </c>
      <c r="I392" t="str">
        <f>IFERROR(VLOOKUP(C392,Merchants!$A$2:$D$41,2,FALSE),"Merchant not found")</f>
        <v>Merchant_003</v>
      </c>
      <c r="J392" t="str">
        <f>IFERROR(VLOOKUP(C392,Merchants!$A$2:$D$41,3,FALSE),"Merchant not found")</f>
        <v>grocery</v>
      </c>
      <c r="K392" t="str">
        <f>IFERROR(VLOOKUP(C392,Merchants!$A$2:$D$41,4,FALSE),"Merchant not found")</f>
        <v>East</v>
      </c>
      <c r="L392" s="2">
        <f>HLOOKUP(F392,Fee_lookup!$A$2:$E$3,2,FALSE)</f>
        <v>5.0000000000000001E-4</v>
      </c>
      <c r="M392" s="6">
        <f t="shared" si="18"/>
        <v>46038</v>
      </c>
      <c r="N392">
        <f t="shared" si="19"/>
        <v>4999</v>
      </c>
      <c r="O392" t="str">
        <f t="shared" si="20"/>
        <v>Normal Merchant Day</v>
      </c>
    </row>
    <row r="393" spans="1:15" x14ac:dyDescent="0.3">
      <c r="A393" t="s">
        <v>460</v>
      </c>
      <c r="B393">
        <v>55</v>
      </c>
      <c r="C393">
        <v>22</v>
      </c>
      <c r="D393" s="1">
        <v>46032.776388888888</v>
      </c>
      <c r="E393">
        <v>499</v>
      </c>
      <c r="F393" t="s">
        <v>66</v>
      </c>
      <c r="G393" t="s">
        <v>64</v>
      </c>
      <c r="H393">
        <v>36</v>
      </c>
      <c r="I393" t="str">
        <f>IFERROR(VLOOKUP(C393,Merchants!$A$2:$D$41,2,FALSE),"Merchant not found")</f>
        <v>Merchant_022</v>
      </c>
      <c r="J393" t="str">
        <f>IFERROR(VLOOKUP(C393,Merchants!$A$2:$D$41,3,FALSE),"Merchant not found")</f>
        <v>travel</v>
      </c>
      <c r="K393" t="str">
        <f>IFERROR(VLOOKUP(C393,Merchants!$A$2:$D$41,4,FALSE),"Merchant not found")</f>
        <v>South</v>
      </c>
      <c r="L393" s="2">
        <f>HLOOKUP(F393,Fee_lookup!$A$2:$E$3,2,FALSE)</f>
        <v>2.0000000000000001E-4</v>
      </c>
      <c r="M393" s="6">
        <f t="shared" si="18"/>
        <v>46032</v>
      </c>
      <c r="N393">
        <f t="shared" si="19"/>
        <v>499</v>
      </c>
      <c r="O393" t="str">
        <f t="shared" si="20"/>
        <v>Normal Merchant Day</v>
      </c>
    </row>
    <row r="394" spans="1:15" x14ac:dyDescent="0.3">
      <c r="A394" t="s">
        <v>461</v>
      </c>
      <c r="B394">
        <v>269</v>
      </c>
      <c r="C394">
        <v>32</v>
      </c>
      <c r="D394" s="1">
        <v>46037.856944444444</v>
      </c>
      <c r="E394">
        <v>49</v>
      </c>
      <c r="F394" t="s">
        <v>78</v>
      </c>
      <c r="G394" t="s">
        <v>64</v>
      </c>
      <c r="H394">
        <v>17</v>
      </c>
      <c r="I394" t="str">
        <f>IFERROR(VLOOKUP(C394,Merchants!$A$2:$D$41,2,FALSE),"Merchant not found")</f>
        <v>Merchant_032</v>
      </c>
      <c r="J394" t="str">
        <f>IFERROR(VLOOKUP(C394,Merchants!$A$2:$D$41,3,FALSE),"Merchant not found")</f>
        <v>food_delivery</v>
      </c>
      <c r="K394" t="str">
        <f>IFERROR(VLOOKUP(C394,Merchants!$A$2:$D$41,4,FALSE),"Merchant not found")</f>
        <v>West</v>
      </c>
      <c r="L394" s="2">
        <f>HLOOKUP(F394,Fee_lookup!$A$2:$E$3,2,FALSE)</f>
        <v>1.4999999999999999E-2</v>
      </c>
      <c r="M394" s="6">
        <f t="shared" si="18"/>
        <v>46037</v>
      </c>
      <c r="N394">
        <f t="shared" si="19"/>
        <v>148</v>
      </c>
      <c r="O394" t="str">
        <f t="shared" si="20"/>
        <v>Normal Merchant Day</v>
      </c>
    </row>
    <row r="395" spans="1:15" x14ac:dyDescent="0.3">
      <c r="A395" t="s">
        <v>462</v>
      </c>
      <c r="B395">
        <v>140</v>
      </c>
      <c r="C395">
        <v>13</v>
      </c>
      <c r="D395" s="1">
        <v>46050.686805555553</v>
      </c>
      <c r="E395">
        <v>2999</v>
      </c>
      <c r="F395" t="s">
        <v>66</v>
      </c>
      <c r="G395" t="s">
        <v>64</v>
      </c>
      <c r="H395">
        <v>14</v>
      </c>
      <c r="I395" t="str">
        <f>IFERROR(VLOOKUP(C395,Merchants!$A$2:$D$41,2,FALSE),"Merchant not found")</f>
        <v>Merchant_013</v>
      </c>
      <c r="J395" t="str">
        <f>IFERROR(VLOOKUP(C395,Merchants!$A$2:$D$41,3,FALSE),"Merchant not found")</f>
        <v>travel</v>
      </c>
      <c r="K395" t="str">
        <f>IFERROR(VLOOKUP(C395,Merchants!$A$2:$D$41,4,FALSE),"Merchant not found")</f>
        <v>East</v>
      </c>
      <c r="L395" s="2">
        <f>HLOOKUP(F395,Fee_lookup!$A$2:$E$3,2,FALSE)</f>
        <v>2.0000000000000001E-4</v>
      </c>
      <c r="M395" s="6">
        <f t="shared" si="18"/>
        <v>46050</v>
      </c>
      <c r="N395">
        <f t="shared" si="19"/>
        <v>2999</v>
      </c>
      <c r="O395" t="str">
        <f t="shared" si="20"/>
        <v>Normal Merchant Day</v>
      </c>
    </row>
    <row r="396" spans="1:15" x14ac:dyDescent="0.3">
      <c r="A396" t="s">
        <v>463</v>
      </c>
      <c r="B396">
        <v>235</v>
      </c>
      <c r="C396">
        <v>17</v>
      </c>
      <c r="D396" s="1">
        <v>46033.240277777775</v>
      </c>
      <c r="E396">
        <v>2999</v>
      </c>
      <c r="F396" t="s">
        <v>66</v>
      </c>
      <c r="G396" t="s">
        <v>64</v>
      </c>
      <c r="H396">
        <v>91</v>
      </c>
      <c r="I396" t="str">
        <f>IFERROR(VLOOKUP(C396,Merchants!$A$2:$D$41,2,FALSE),"Merchant not found")</f>
        <v>Merchant_017</v>
      </c>
      <c r="J396" t="str">
        <f>IFERROR(VLOOKUP(C396,Merchants!$A$2:$D$41,3,FALSE),"Merchant not found")</f>
        <v>grocery</v>
      </c>
      <c r="K396" t="str">
        <f>IFERROR(VLOOKUP(C396,Merchants!$A$2:$D$41,4,FALSE),"Merchant not found")</f>
        <v>North</v>
      </c>
      <c r="L396" s="2">
        <f>HLOOKUP(F396,Fee_lookup!$A$2:$E$3,2,FALSE)</f>
        <v>2.0000000000000001E-4</v>
      </c>
      <c r="M396" s="6">
        <f t="shared" si="18"/>
        <v>46033</v>
      </c>
      <c r="N396">
        <f t="shared" si="19"/>
        <v>7998</v>
      </c>
      <c r="O396" t="str">
        <f t="shared" si="20"/>
        <v>High-Value Merchant Day</v>
      </c>
    </row>
    <row r="397" spans="1:15" x14ac:dyDescent="0.3">
      <c r="A397" t="s">
        <v>464</v>
      </c>
      <c r="B397">
        <v>173</v>
      </c>
      <c r="C397">
        <v>19</v>
      </c>
      <c r="D397" s="1">
        <v>46028.032638888886</v>
      </c>
      <c r="E397">
        <v>499</v>
      </c>
      <c r="F397" t="s">
        <v>66</v>
      </c>
      <c r="G397" t="s">
        <v>79</v>
      </c>
      <c r="H397">
        <v>72</v>
      </c>
      <c r="I397" t="str">
        <f>IFERROR(VLOOKUP(C397,Merchants!$A$2:$D$41,2,FALSE),"Merchant not found")</f>
        <v>Merchant_019</v>
      </c>
      <c r="J397" t="str">
        <f>IFERROR(VLOOKUP(C397,Merchants!$A$2:$D$41,3,FALSE),"Merchant not found")</f>
        <v>grocery</v>
      </c>
      <c r="K397" t="str">
        <f>IFERROR(VLOOKUP(C397,Merchants!$A$2:$D$41,4,FALSE),"Merchant not found")</f>
        <v>North</v>
      </c>
      <c r="L397" s="2">
        <f>HLOOKUP(F397,Fee_lookup!$A$2:$E$3,2,FALSE)</f>
        <v>2.0000000000000001E-4</v>
      </c>
      <c r="M397" s="6">
        <f t="shared" si="18"/>
        <v>46028</v>
      </c>
      <c r="N397">
        <f t="shared" si="19"/>
        <v>499</v>
      </c>
      <c r="O397" t="str">
        <f t="shared" si="20"/>
        <v>Normal Merchant Day</v>
      </c>
    </row>
    <row r="398" spans="1:15" x14ac:dyDescent="0.3">
      <c r="A398" t="s">
        <v>465</v>
      </c>
      <c r="B398">
        <v>313</v>
      </c>
      <c r="C398">
        <v>26</v>
      </c>
      <c r="D398" s="1">
        <v>46044.257638888892</v>
      </c>
      <c r="E398">
        <v>499</v>
      </c>
      <c r="F398" t="s">
        <v>66</v>
      </c>
      <c r="G398" t="s">
        <v>64</v>
      </c>
      <c r="H398">
        <v>54</v>
      </c>
      <c r="I398" t="str">
        <f>IFERROR(VLOOKUP(C398,Merchants!$A$2:$D$41,2,FALSE),"Merchant not found")</f>
        <v>Merchant_026</v>
      </c>
      <c r="J398" t="str">
        <f>IFERROR(VLOOKUP(C398,Merchants!$A$2:$D$41,3,FALSE),"Merchant not found")</f>
        <v>food_delivery</v>
      </c>
      <c r="K398" t="str">
        <f>IFERROR(VLOOKUP(C398,Merchants!$A$2:$D$41,4,FALSE),"Merchant not found")</f>
        <v>East</v>
      </c>
      <c r="L398" s="2">
        <f>HLOOKUP(F398,Fee_lookup!$A$2:$E$3,2,FALSE)</f>
        <v>2.0000000000000001E-4</v>
      </c>
      <c r="M398" s="6">
        <f t="shared" si="18"/>
        <v>46044</v>
      </c>
      <c r="N398">
        <f t="shared" si="19"/>
        <v>499</v>
      </c>
      <c r="O398" t="str">
        <f t="shared" si="20"/>
        <v>Normal Merchant Day</v>
      </c>
    </row>
    <row r="399" spans="1:15" x14ac:dyDescent="0.3">
      <c r="A399" t="s">
        <v>466</v>
      </c>
      <c r="B399">
        <v>206</v>
      </c>
      <c r="C399">
        <v>7</v>
      </c>
      <c r="D399" s="1">
        <v>46039.420138888891</v>
      </c>
      <c r="E399">
        <v>149</v>
      </c>
      <c r="F399" t="s">
        <v>63</v>
      </c>
      <c r="G399" t="s">
        <v>64</v>
      </c>
      <c r="H399">
        <v>23</v>
      </c>
      <c r="I399" t="str">
        <f>IFERROR(VLOOKUP(C399,Merchants!$A$2:$D$41,2,FALSE),"Merchant not found")</f>
        <v>Merchant_007</v>
      </c>
      <c r="J399" t="str">
        <f>IFERROR(VLOOKUP(C399,Merchants!$A$2:$D$41,3,FALSE),"Merchant not found")</f>
        <v>food_delivery</v>
      </c>
      <c r="K399" t="str">
        <f>IFERROR(VLOOKUP(C399,Merchants!$A$2:$D$41,4,FALSE),"Merchant not found")</f>
        <v>East</v>
      </c>
      <c r="L399" s="2">
        <f>HLOOKUP(F399,Fee_lookup!$A$2:$E$3,2,FALSE)</f>
        <v>5.0000000000000001E-4</v>
      </c>
      <c r="M399" s="6">
        <f t="shared" si="18"/>
        <v>46039</v>
      </c>
      <c r="N399">
        <f t="shared" si="19"/>
        <v>149</v>
      </c>
      <c r="O399" t="str">
        <f t="shared" si="20"/>
        <v>Normal Merchant Day</v>
      </c>
    </row>
    <row r="400" spans="1:15" x14ac:dyDescent="0.3">
      <c r="A400" t="s">
        <v>467</v>
      </c>
      <c r="B400">
        <v>128</v>
      </c>
      <c r="C400">
        <v>1</v>
      </c>
      <c r="D400" s="1">
        <v>46027.638888888891</v>
      </c>
      <c r="E400">
        <v>1499</v>
      </c>
      <c r="F400" t="s">
        <v>69</v>
      </c>
      <c r="G400" t="s">
        <v>64</v>
      </c>
      <c r="H400">
        <v>33</v>
      </c>
      <c r="I400" t="str">
        <f>IFERROR(VLOOKUP(C400,Merchants!$A$2:$D$41,2,FALSE),"Merchant not found")</f>
        <v>Merchant_001</v>
      </c>
      <c r="J400" t="str">
        <f>IFERROR(VLOOKUP(C400,Merchants!$A$2:$D$41,3,FALSE),"Merchant not found")</f>
        <v>ecommerce</v>
      </c>
      <c r="K400" t="str">
        <f>IFERROR(VLOOKUP(C400,Merchants!$A$2:$D$41,4,FALSE),"Merchant not found")</f>
        <v>South</v>
      </c>
      <c r="L400" s="2">
        <f>HLOOKUP(F400,Fee_lookup!$A$2:$E$3,2,FALSE)</f>
        <v>0.01</v>
      </c>
      <c r="M400" s="6">
        <f t="shared" si="18"/>
        <v>46027</v>
      </c>
      <c r="N400">
        <f t="shared" si="19"/>
        <v>1499</v>
      </c>
      <c r="O400" t="str">
        <f t="shared" si="20"/>
        <v>Normal Merchant Day</v>
      </c>
    </row>
    <row r="401" spans="1:15" x14ac:dyDescent="0.3">
      <c r="A401" t="s">
        <v>468</v>
      </c>
      <c r="B401">
        <v>137</v>
      </c>
      <c r="C401">
        <v>22</v>
      </c>
      <c r="D401" s="1">
        <v>46035.311111111114</v>
      </c>
      <c r="E401">
        <v>799</v>
      </c>
      <c r="F401" t="s">
        <v>66</v>
      </c>
      <c r="G401" t="s">
        <v>79</v>
      </c>
      <c r="H401">
        <v>38</v>
      </c>
      <c r="I401" t="str">
        <f>IFERROR(VLOOKUP(C401,Merchants!$A$2:$D$41,2,FALSE),"Merchant not found")</f>
        <v>Merchant_022</v>
      </c>
      <c r="J401" t="str">
        <f>IFERROR(VLOOKUP(C401,Merchants!$A$2:$D$41,3,FALSE),"Merchant not found")</f>
        <v>travel</v>
      </c>
      <c r="K401" t="str">
        <f>IFERROR(VLOOKUP(C401,Merchants!$A$2:$D$41,4,FALSE),"Merchant not found")</f>
        <v>South</v>
      </c>
      <c r="L401" s="2">
        <f>HLOOKUP(F401,Fee_lookup!$A$2:$E$3,2,FALSE)</f>
        <v>2.0000000000000001E-4</v>
      </c>
      <c r="M401" s="6">
        <f t="shared" si="18"/>
        <v>46035</v>
      </c>
      <c r="N401">
        <f t="shared" si="19"/>
        <v>5798</v>
      </c>
      <c r="O401" t="str">
        <f t="shared" si="20"/>
        <v>High-Value Merchant Day</v>
      </c>
    </row>
    <row r="402" spans="1:15" x14ac:dyDescent="0.3">
      <c r="A402" t="s">
        <v>469</v>
      </c>
      <c r="B402">
        <v>6</v>
      </c>
      <c r="C402">
        <v>17</v>
      </c>
      <c r="D402" s="1">
        <v>46041.98333333333</v>
      </c>
      <c r="E402">
        <v>49</v>
      </c>
      <c r="F402" t="s">
        <v>66</v>
      </c>
      <c r="G402" t="s">
        <v>64</v>
      </c>
      <c r="H402">
        <v>83</v>
      </c>
      <c r="I402" t="str">
        <f>IFERROR(VLOOKUP(C402,Merchants!$A$2:$D$41,2,FALSE),"Merchant not found")</f>
        <v>Merchant_017</v>
      </c>
      <c r="J402" t="str">
        <f>IFERROR(VLOOKUP(C402,Merchants!$A$2:$D$41,3,FALSE),"Merchant not found")</f>
        <v>grocery</v>
      </c>
      <c r="K402" t="str">
        <f>IFERROR(VLOOKUP(C402,Merchants!$A$2:$D$41,4,FALSE),"Merchant not found")</f>
        <v>North</v>
      </c>
      <c r="L402" s="2">
        <f>HLOOKUP(F402,Fee_lookup!$A$2:$E$3,2,FALSE)</f>
        <v>2.0000000000000001E-4</v>
      </c>
      <c r="M402" s="6">
        <f t="shared" si="18"/>
        <v>46041</v>
      </c>
      <c r="N402">
        <f t="shared" si="19"/>
        <v>49</v>
      </c>
      <c r="O402" t="str">
        <f t="shared" si="20"/>
        <v>Normal Merchant Day</v>
      </c>
    </row>
    <row r="403" spans="1:15" x14ac:dyDescent="0.3">
      <c r="A403" t="s">
        <v>470</v>
      </c>
      <c r="B403">
        <v>32</v>
      </c>
      <c r="C403">
        <v>8</v>
      </c>
      <c r="D403" s="1">
        <v>46034.927083333336</v>
      </c>
      <c r="E403">
        <v>299</v>
      </c>
      <c r="F403" t="s">
        <v>78</v>
      </c>
      <c r="G403" t="s">
        <v>64</v>
      </c>
      <c r="H403">
        <v>59</v>
      </c>
      <c r="I403" t="str">
        <f>IFERROR(VLOOKUP(C403,Merchants!$A$2:$D$41,2,FALSE),"Merchant not found")</f>
        <v>Merchant_008</v>
      </c>
      <c r="J403" t="str">
        <f>IFERROR(VLOOKUP(C403,Merchants!$A$2:$D$41,3,FALSE),"Merchant not found")</f>
        <v>food_delivery</v>
      </c>
      <c r="K403" t="str">
        <f>IFERROR(VLOOKUP(C403,Merchants!$A$2:$D$41,4,FALSE),"Merchant not found")</f>
        <v>North</v>
      </c>
      <c r="L403" s="2">
        <f>HLOOKUP(F403,Fee_lookup!$A$2:$E$3,2,FALSE)</f>
        <v>1.4999999999999999E-2</v>
      </c>
      <c r="M403" s="6">
        <f t="shared" si="18"/>
        <v>46034</v>
      </c>
      <c r="N403">
        <f t="shared" si="19"/>
        <v>398</v>
      </c>
      <c r="O403" t="str">
        <f t="shared" si="20"/>
        <v>Normal Merchant Day</v>
      </c>
    </row>
    <row r="404" spans="1:15" x14ac:dyDescent="0.3">
      <c r="A404" t="s">
        <v>471</v>
      </c>
      <c r="B404">
        <v>258</v>
      </c>
      <c r="C404">
        <v>20</v>
      </c>
      <c r="D404" s="1">
        <v>46032.225694444445</v>
      </c>
      <c r="E404">
        <v>149</v>
      </c>
      <c r="F404" t="s">
        <v>66</v>
      </c>
      <c r="G404" t="s">
        <v>64</v>
      </c>
      <c r="H404">
        <v>88</v>
      </c>
      <c r="I404" t="str">
        <f>IFERROR(VLOOKUP(C404,Merchants!$A$2:$D$41,2,FALSE),"Merchant not found")</f>
        <v>Merchant_020</v>
      </c>
      <c r="J404" t="str">
        <f>IFERROR(VLOOKUP(C404,Merchants!$A$2:$D$41,3,FALSE),"Merchant not found")</f>
        <v>food_delivery</v>
      </c>
      <c r="K404" t="str">
        <f>IFERROR(VLOOKUP(C404,Merchants!$A$2:$D$41,4,FALSE),"Merchant not found")</f>
        <v>East</v>
      </c>
      <c r="L404" s="2">
        <f>HLOOKUP(F404,Fee_lookup!$A$2:$E$3,2,FALSE)</f>
        <v>2.0000000000000001E-4</v>
      </c>
      <c r="M404" s="6">
        <f t="shared" si="18"/>
        <v>46032</v>
      </c>
      <c r="N404">
        <f t="shared" si="19"/>
        <v>149</v>
      </c>
      <c r="O404" t="str">
        <f t="shared" si="20"/>
        <v>Normal Merchant Day</v>
      </c>
    </row>
    <row r="405" spans="1:15" x14ac:dyDescent="0.3">
      <c r="A405" t="s">
        <v>472</v>
      </c>
      <c r="B405">
        <v>152</v>
      </c>
      <c r="C405">
        <v>24</v>
      </c>
      <c r="D405" s="1">
        <v>46026.873611111114</v>
      </c>
      <c r="E405">
        <v>149</v>
      </c>
      <c r="F405" t="s">
        <v>66</v>
      </c>
      <c r="G405" t="s">
        <v>92</v>
      </c>
      <c r="H405">
        <v>78</v>
      </c>
      <c r="I405" t="str">
        <f>IFERROR(VLOOKUP(C405,Merchants!$A$2:$D$41,2,FALSE),"Merchant not found")</f>
        <v>Merchant_024</v>
      </c>
      <c r="J405" t="str">
        <f>IFERROR(VLOOKUP(C405,Merchants!$A$2:$D$41,3,FALSE),"Merchant not found")</f>
        <v>grocery</v>
      </c>
      <c r="K405" t="str">
        <f>IFERROR(VLOOKUP(C405,Merchants!$A$2:$D$41,4,FALSE),"Merchant not found")</f>
        <v>North</v>
      </c>
      <c r="L405" s="2">
        <f>HLOOKUP(F405,Fee_lookup!$A$2:$E$3,2,FALSE)</f>
        <v>2.0000000000000001E-4</v>
      </c>
      <c r="M405" s="6">
        <f t="shared" si="18"/>
        <v>46026</v>
      </c>
      <c r="N405">
        <f t="shared" si="19"/>
        <v>149</v>
      </c>
      <c r="O405" t="str">
        <f t="shared" si="20"/>
        <v>Normal Merchant Day</v>
      </c>
    </row>
    <row r="406" spans="1:15" x14ac:dyDescent="0.3">
      <c r="A406" t="s">
        <v>473</v>
      </c>
      <c r="B406">
        <v>245</v>
      </c>
      <c r="C406">
        <v>10</v>
      </c>
      <c r="D406" s="1">
        <v>46030.297222222223</v>
      </c>
      <c r="E406">
        <v>799</v>
      </c>
      <c r="F406" t="s">
        <v>63</v>
      </c>
      <c r="G406" t="s">
        <v>64</v>
      </c>
      <c r="H406">
        <v>58</v>
      </c>
      <c r="I406" t="str">
        <f>IFERROR(VLOOKUP(C406,Merchants!$A$2:$D$41,2,FALSE),"Merchant not found")</f>
        <v>Merchant_010</v>
      </c>
      <c r="J406" t="str">
        <f>IFERROR(VLOOKUP(C406,Merchants!$A$2:$D$41,3,FALSE),"Merchant not found")</f>
        <v>grocery</v>
      </c>
      <c r="K406" t="str">
        <f>IFERROR(VLOOKUP(C406,Merchants!$A$2:$D$41,4,FALSE),"Merchant not found")</f>
        <v>West</v>
      </c>
      <c r="L406" s="2">
        <f>HLOOKUP(F406,Fee_lookup!$A$2:$E$3,2,FALSE)</f>
        <v>5.0000000000000001E-4</v>
      </c>
      <c r="M406" s="6">
        <f t="shared" si="18"/>
        <v>46030</v>
      </c>
      <c r="N406">
        <f t="shared" si="19"/>
        <v>799</v>
      </c>
      <c r="O406" t="str">
        <f t="shared" si="20"/>
        <v>Normal Merchant Day</v>
      </c>
    </row>
    <row r="407" spans="1:15" x14ac:dyDescent="0.3">
      <c r="A407" t="s">
        <v>474</v>
      </c>
      <c r="B407">
        <v>213</v>
      </c>
      <c r="C407">
        <v>36</v>
      </c>
      <c r="D407" s="1">
        <v>46046.807638888888</v>
      </c>
      <c r="E407">
        <v>49</v>
      </c>
      <c r="F407" t="s">
        <v>63</v>
      </c>
      <c r="G407" t="s">
        <v>64</v>
      </c>
      <c r="H407">
        <v>60</v>
      </c>
      <c r="I407" t="str">
        <f>IFERROR(VLOOKUP(C407,Merchants!$A$2:$D$41,2,FALSE),"Merchant not found")</f>
        <v>Merchant_036</v>
      </c>
      <c r="J407" t="str">
        <f>IFERROR(VLOOKUP(C407,Merchants!$A$2:$D$41,3,FALSE),"Merchant not found")</f>
        <v>entertainment</v>
      </c>
      <c r="K407" t="str">
        <f>IFERROR(VLOOKUP(C407,Merchants!$A$2:$D$41,4,FALSE),"Merchant not found")</f>
        <v>East</v>
      </c>
      <c r="L407" s="2">
        <f>HLOOKUP(F407,Fee_lookup!$A$2:$E$3,2,FALSE)</f>
        <v>5.0000000000000001E-4</v>
      </c>
      <c r="M407" s="6">
        <f t="shared" si="18"/>
        <v>46046</v>
      </c>
      <c r="N407">
        <f t="shared" si="19"/>
        <v>1647</v>
      </c>
      <c r="O407" t="str">
        <f t="shared" si="20"/>
        <v>Normal Merchant Day</v>
      </c>
    </row>
    <row r="408" spans="1:15" x14ac:dyDescent="0.3">
      <c r="A408" t="s">
        <v>475</v>
      </c>
      <c r="B408">
        <v>341</v>
      </c>
      <c r="C408">
        <v>14</v>
      </c>
      <c r="D408" s="1">
        <v>46047.743750000001</v>
      </c>
      <c r="E408">
        <v>99</v>
      </c>
      <c r="F408" t="s">
        <v>69</v>
      </c>
      <c r="G408" t="s">
        <v>64</v>
      </c>
      <c r="H408">
        <v>97</v>
      </c>
      <c r="I408" t="str">
        <f>IFERROR(VLOOKUP(C408,Merchants!$A$2:$D$41,2,FALSE),"Merchant not found")</f>
        <v>Merchant_014</v>
      </c>
      <c r="J408" t="str">
        <f>IFERROR(VLOOKUP(C408,Merchants!$A$2:$D$41,3,FALSE),"Merchant not found")</f>
        <v>grocery</v>
      </c>
      <c r="K408" t="str">
        <f>IFERROR(VLOOKUP(C408,Merchants!$A$2:$D$41,4,FALSE),"Merchant not found")</f>
        <v>East</v>
      </c>
      <c r="L408" s="2">
        <f>HLOOKUP(F408,Fee_lookup!$A$2:$E$3,2,FALSE)</f>
        <v>0.01</v>
      </c>
      <c r="M408" s="6">
        <f t="shared" si="18"/>
        <v>46047</v>
      </c>
      <c r="N408">
        <f t="shared" si="19"/>
        <v>1598</v>
      </c>
      <c r="O408" t="str">
        <f t="shared" si="20"/>
        <v>Normal Merchant Day</v>
      </c>
    </row>
    <row r="409" spans="1:15" x14ac:dyDescent="0.3">
      <c r="A409" t="s">
        <v>476</v>
      </c>
      <c r="B409">
        <v>306</v>
      </c>
      <c r="C409">
        <v>6</v>
      </c>
      <c r="D409" s="1">
        <v>46030.908333333333</v>
      </c>
      <c r="E409">
        <v>149</v>
      </c>
      <c r="F409" t="s">
        <v>69</v>
      </c>
      <c r="G409" t="s">
        <v>64</v>
      </c>
      <c r="H409">
        <v>67</v>
      </c>
      <c r="I409" t="str">
        <f>IFERROR(VLOOKUP(C409,Merchants!$A$2:$D$41,2,FALSE),"Merchant not found")</f>
        <v>Merchant_006</v>
      </c>
      <c r="J409" t="str">
        <f>IFERROR(VLOOKUP(C409,Merchants!$A$2:$D$41,3,FALSE),"Merchant not found")</f>
        <v>food_delivery</v>
      </c>
      <c r="K409" t="str">
        <f>IFERROR(VLOOKUP(C409,Merchants!$A$2:$D$41,4,FALSE),"Merchant not found")</f>
        <v>South</v>
      </c>
      <c r="L409" s="2">
        <f>HLOOKUP(F409,Fee_lookup!$A$2:$E$3,2,FALSE)</f>
        <v>0.01</v>
      </c>
      <c r="M409" s="6">
        <f t="shared" si="18"/>
        <v>46030</v>
      </c>
      <c r="N409">
        <f t="shared" si="19"/>
        <v>149</v>
      </c>
      <c r="O409" t="str">
        <f t="shared" si="20"/>
        <v>Normal Merchant Day</v>
      </c>
    </row>
    <row r="410" spans="1:15" x14ac:dyDescent="0.3">
      <c r="A410" t="s">
        <v>477</v>
      </c>
      <c r="B410">
        <v>186</v>
      </c>
      <c r="C410">
        <v>5</v>
      </c>
      <c r="D410" s="1">
        <v>46037.697916666664</v>
      </c>
      <c r="E410">
        <v>499</v>
      </c>
      <c r="F410" t="s">
        <v>66</v>
      </c>
      <c r="G410" t="s">
        <v>64</v>
      </c>
      <c r="H410">
        <v>72</v>
      </c>
      <c r="I410" t="str">
        <f>IFERROR(VLOOKUP(C410,Merchants!$A$2:$D$41,2,FALSE),"Merchant not found")</f>
        <v>Merchant_005</v>
      </c>
      <c r="J410" t="str">
        <f>IFERROR(VLOOKUP(C410,Merchants!$A$2:$D$41,3,FALSE),"Merchant not found")</f>
        <v>recharge</v>
      </c>
      <c r="K410" t="str">
        <f>IFERROR(VLOOKUP(C410,Merchants!$A$2:$D$41,4,FALSE),"Merchant not found")</f>
        <v>South</v>
      </c>
      <c r="L410" s="2">
        <f>HLOOKUP(F410,Fee_lookup!$A$2:$E$3,2,FALSE)</f>
        <v>2.0000000000000001E-4</v>
      </c>
      <c r="M410" s="6">
        <f t="shared" si="18"/>
        <v>46037</v>
      </c>
      <c r="N410">
        <f t="shared" si="19"/>
        <v>548</v>
      </c>
      <c r="O410" t="str">
        <f t="shared" si="20"/>
        <v>Normal Merchant Day</v>
      </c>
    </row>
    <row r="411" spans="1:15" x14ac:dyDescent="0.3">
      <c r="A411" t="s">
        <v>478</v>
      </c>
      <c r="B411">
        <v>281</v>
      </c>
      <c r="C411">
        <v>33</v>
      </c>
      <c r="D411" s="1">
        <v>46026.078472222223</v>
      </c>
      <c r="E411">
        <v>4999</v>
      </c>
      <c r="F411" t="s">
        <v>66</v>
      </c>
      <c r="G411" t="s">
        <v>64</v>
      </c>
      <c r="H411">
        <v>25</v>
      </c>
      <c r="I411" t="str">
        <f>IFERROR(VLOOKUP(C411,Merchants!$A$2:$D$41,2,FALSE),"Merchant not found")</f>
        <v>Merchant_033</v>
      </c>
      <c r="J411" t="str">
        <f>IFERROR(VLOOKUP(C411,Merchants!$A$2:$D$41,3,FALSE),"Merchant not found")</f>
        <v>bill_payment</v>
      </c>
      <c r="K411" t="str">
        <f>IFERROR(VLOOKUP(C411,Merchants!$A$2:$D$41,4,FALSE),"Merchant not found")</f>
        <v>East</v>
      </c>
      <c r="L411" s="2">
        <f>HLOOKUP(F411,Fee_lookup!$A$2:$E$3,2,FALSE)</f>
        <v>2.0000000000000001E-4</v>
      </c>
      <c r="M411" s="6">
        <f t="shared" si="18"/>
        <v>46026</v>
      </c>
      <c r="N411">
        <f t="shared" si="19"/>
        <v>4999</v>
      </c>
      <c r="O411" t="str">
        <f t="shared" si="20"/>
        <v>Normal Merchant Day</v>
      </c>
    </row>
    <row r="412" spans="1:15" x14ac:dyDescent="0.3">
      <c r="A412" t="s">
        <v>479</v>
      </c>
      <c r="B412">
        <v>85</v>
      </c>
      <c r="C412">
        <v>21</v>
      </c>
      <c r="D412" s="1">
        <v>46041.714583333334</v>
      </c>
      <c r="E412">
        <v>99</v>
      </c>
      <c r="F412" t="s">
        <v>66</v>
      </c>
      <c r="G412" t="s">
        <v>64</v>
      </c>
      <c r="H412">
        <v>66</v>
      </c>
      <c r="I412" t="str">
        <f>IFERROR(VLOOKUP(C412,Merchants!$A$2:$D$41,2,FALSE),"Merchant not found")</f>
        <v>Merchant_021</v>
      </c>
      <c r="J412" t="str">
        <f>IFERROR(VLOOKUP(C412,Merchants!$A$2:$D$41,3,FALSE),"Merchant not found")</f>
        <v>food_delivery</v>
      </c>
      <c r="K412" t="str">
        <f>IFERROR(VLOOKUP(C412,Merchants!$A$2:$D$41,4,FALSE),"Merchant not found")</f>
        <v>East</v>
      </c>
      <c r="L412" s="2">
        <f>HLOOKUP(F412,Fee_lookup!$A$2:$E$3,2,FALSE)</f>
        <v>2.0000000000000001E-4</v>
      </c>
      <c r="M412" s="6">
        <f t="shared" si="18"/>
        <v>46041</v>
      </c>
      <c r="N412">
        <f t="shared" si="19"/>
        <v>99</v>
      </c>
      <c r="O412" t="str">
        <f t="shared" si="20"/>
        <v>Normal Merchant Day</v>
      </c>
    </row>
    <row r="413" spans="1:15" x14ac:dyDescent="0.3">
      <c r="A413" t="s">
        <v>480</v>
      </c>
      <c r="B413">
        <v>106</v>
      </c>
      <c r="C413">
        <v>38</v>
      </c>
      <c r="D413" s="1">
        <v>46037.154861111114</v>
      </c>
      <c r="E413">
        <v>499</v>
      </c>
      <c r="F413" t="s">
        <v>66</v>
      </c>
      <c r="G413" t="s">
        <v>64</v>
      </c>
      <c r="H413">
        <v>62</v>
      </c>
      <c r="I413" t="str">
        <f>IFERROR(VLOOKUP(C413,Merchants!$A$2:$D$41,2,FALSE),"Merchant not found")</f>
        <v>Merchant_038</v>
      </c>
      <c r="J413" t="str">
        <f>IFERROR(VLOOKUP(C413,Merchants!$A$2:$D$41,3,FALSE),"Merchant not found")</f>
        <v>grocery</v>
      </c>
      <c r="K413" t="str">
        <f>IFERROR(VLOOKUP(C413,Merchants!$A$2:$D$41,4,FALSE),"Merchant not found")</f>
        <v>East</v>
      </c>
      <c r="L413" s="2">
        <f>HLOOKUP(F413,Fee_lookup!$A$2:$E$3,2,FALSE)</f>
        <v>2.0000000000000001E-4</v>
      </c>
      <c r="M413" s="6">
        <f t="shared" si="18"/>
        <v>46037</v>
      </c>
      <c r="N413">
        <f t="shared" si="19"/>
        <v>499</v>
      </c>
      <c r="O413" t="str">
        <f t="shared" si="20"/>
        <v>Normal Merchant Day</v>
      </c>
    </row>
    <row r="414" spans="1:15" x14ac:dyDescent="0.3">
      <c r="A414" t="s">
        <v>481</v>
      </c>
      <c r="B414">
        <v>29</v>
      </c>
      <c r="C414">
        <v>30</v>
      </c>
      <c r="D414" s="1">
        <v>46025.686111111114</v>
      </c>
      <c r="E414">
        <v>149</v>
      </c>
      <c r="F414" t="s">
        <v>69</v>
      </c>
      <c r="G414" t="s">
        <v>64</v>
      </c>
      <c r="H414">
        <v>16</v>
      </c>
      <c r="I414" t="str">
        <f>IFERROR(VLOOKUP(C414,Merchants!$A$2:$D$41,2,FALSE),"Merchant not found")</f>
        <v>Merchant_030</v>
      </c>
      <c r="J414" t="str">
        <f>IFERROR(VLOOKUP(C414,Merchants!$A$2:$D$41,3,FALSE),"Merchant not found")</f>
        <v>travel</v>
      </c>
      <c r="K414" t="str">
        <f>IFERROR(VLOOKUP(C414,Merchants!$A$2:$D$41,4,FALSE),"Merchant not found")</f>
        <v>West</v>
      </c>
      <c r="L414" s="2">
        <f>HLOOKUP(F414,Fee_lookup!$A$2:$E$3,2,FALSE)</f>
        <v>0.01</v>
      </c>
      <c r="M414" s="6">
        <f t="shared" si="18"/>
        <v>46025</v>
      </c>
      <c r="N414">
        <f t="shared" si="19"/>
        <v>149</v>
      </c>
      <c r="O414" t="str">
        <f t="shared" si="20"/>
        <v>Normal Merchant Day</v>
      </c>
    </row>
    <row r="415" spans="1:15" x14ac:dyDescent="0.3">
      <c r="A415" t="s">
        <v>482</v>
      </c>
      <c r="B415">
        <v>289</v>
      </c>
      <c r="C415">
        <v>4</v>
      </c>
      <c r="D415" s="1">
        <v>46039.561805555553</v>
      </c>
      <c r="E415">
        <v>1499</v>
      </c>
      <c r="F415" t="s">
        <v>78</v>
      </c>
      <c r="G415" t="s">
        <v>64</v>
      </c>
      <c r="H415">
        <v>71</v>
      </c>
      <c r="I415" t="str">
        <f>IFERROR(VLOOKUP(C415,Merchants!$A$2:$D$41,2,FALSE),"Merchant not found")</f>
        <v>Merchant_004</v>
      </c>
      <c r="J415" t="str">
        <f>IFERROR(VLOOKUP(C415,Merchants!$A$2:$D$41,3,FALSE),"Merchant not found")</f>
        <v>ecommerce</v>
      </c>
      <c r="K415" t="str">
        <f>IFERROR(VLOOKUP(C415,Merchants!$A$2:$D$41,4,FALSE),"Merchant not found")</f>
        <v>East</v>
      </c>
      <c r="L415" s="2">
        <f>HLOOKUP(F415,Fee_lookup!$A$2:$E$3,2,FALSE)</f>
        <v>1.4999999999999999E-2</v>
      </c>
      <c r="M415" s="6">
        <f t="shared" si="18"/>
        <v>46039</v>
      </c>
      <c r="N415">
        <f t="shared" si="19"/>
        <v>1499</v>
      </c>
      <c r="O415" t="str">
        <f t="shared" si="20"/>
        <v>Normal Merchant Day</v>
      </c>
    </row>
    <row r="416" spans="1:15" x14ac:dyDescent="0.3">
      <c r="A416" t="s">
        <v>483</v>
      </c>
      <c r="B416">
        <v>158</v>
      </c>
      <c r="C416">
        <v>2</v>
      </c>
      <c r="D416" s="1">
        <v>46037.910416666666</v>
      </c>
      <c r="E416">
        <v>1499</v>
      </c>
      <c r="F416" t="s">
        <v>78</v>
      </c>
      <c r="G416" t="s">
        <v>64</v>
      </c>
      <c r="H416">
        <v>50</v>
      </c>
      <c r="I416" t="str">
        <f>IFERROR(VLOOKUP(C416,Merchants!$A$2:$D$41,2,FALSE),"Merchant not found")</f>
        <v>Merchant_002</v>
      </c>
      <c r="J416" t="str">
        <f>IFERROR(VLOOKUP(C416,Merchants!$A$2:$D$41,3,FALSE),"Merchant not found")</f>
        <v>grocery</v>
      </c>
      <c r="K416" t="str">
        <f>IFERROR(VLOOKUP(C416,Merchants!$A$2:$D$41,4,FALSE),"Merchant not found")</f>
        <v>West</v>
      </c>
      <c r="L416" s="2">
        <f>HLOOKUP(F416,Fee_lookup!$A$2:$E$3,2,FALSE)</f>
        <v>1.4999999999999999E-2</v>
      </c>
      <c r="M416" s="6">
        <f t="shared" si="18"/>
        <v>46037</v>
      </c>
      <c r="N416">
        <f t="shared" si="19"/>
        <v>1499</v>
      </c>
      <c r="O416" t="str">
        <f t="shared" si="20"/>
        <v>Normal Merchant Day</v>
      </c>
    </row>
    <row r="417" spans="1:15" x14ac:dyDescent="0.3">
      <c r="A417" t="s">
        <v>484</v>
      </c>
      <c r="B417">
        <v>112</v>
      </c>
      <c r="C417">
        <v>38</v>
      </c>
      <c r="D417" s="1">
        <v>46031.032638888886</v>
      </c>
      <c r="E417">
        <v>49</v>
      </c>
      <c r="F417" t="s">
        <v>66</v>
      </c>
      <c r="G417" t="s">
        <v>64</v>
      </c>
      <c r="H417">
        <v>9</v>
      </c>
      <c r="I417" t="str">
        <f>IFERROR(VLOOKUP(C417,Merchants!$A$2:$D$41,2,FALSE),"Merchant not found")</f>
        <v>Merchant_038</v>
      </c>
      <c r="J417" t="str">
        <f>IFERROR(VLOOKUP(C417,Merchants!$A$2:$D$41,3,FALSE),"Merchant not found")</f>
        <v>grocery</v>
      </c>
      <c r="K417" t="str">
        <f>IFERROR(VLOOKUP(C417,Merchants!$A$2:$D$41,4,FALSE),"Merchant not found")</f>
        <v>East</v>
      </c>
      <c r="L417" s="2">
        <f>HLOOKUP(F417,Fee_lookup!$A$2:$E$3,2,FALSE)</f>
        <v>2.0000000000000001E-4</v>
      </c>
      <c r="M417" s="6">
        <f t="shared" si="18"/>
        <v>46031</v>
      </c>
      <c r="N417">
        <f t="shared" si="19"/>
        <v>348</v>
      </c>
      <c r="O417" t="str">
        <f t="shared" si="20"/>
        <v>Normal Merchant Day</v>
      </c>
    </row>
    <row r="418" spans="1:15" x14ac:dyDescent="0.3">
      <c r="A418" t="s">
        <v>485</v>
      </c>
      <c r="B418">
        <v>33</v>
      </c>
      <c r="C418">
        <v>35</v>
      </c>
      <c r="D418" s="1">
        <v>46024.556944444441</v>
      </c>
      <c r="E418">
        <v>299</v>
      </c>
      <c r="F418" t="s">
        <v>78</v>
      </c>
      <c r="G418" t="s">
        <v>79</v>
      </c>
      <c r="H418">
        <v>7</v>
      </c>
      <c r="I418" t="str">
        <f>IFERROR(VLOOKUP(C418,Merchants!$A$2:$D$41,2,FALSE),"Merchant not found")</f>
        <v>Merchant_035</v>
      </c>
      <c r="J418" t="str">
        <f>IFERROR(VLOOKUP(C418,Merchants!$A$2:$D$41,3,FALSE),"Merchant not found")</f>
        <v>recharge</v>
      </c>
      <c r="K418" t="str">
        <f>IFERROR(VLOOKUP(C418,Merchants!$A$2:$D$41,4,FALSE),"Merchant not found")</f>
        <v>East</v>
      </c>
      <c r="L418" s="2">
        <f>HLOOKUP(F418,Fee_lookup!$A$2:$E$3,2,FALSE)</f>
        <v>1.4999999999999999E-2</v>
      </c>
      <c r="M418" s="6">
        <f t="shared" si="18"/>
        <v>46024</v>
      </c>
      <c r="N418">
        <f t="shared" si="19"/>
        <v>1847</v>
      </c>
      <c r="O418" t="str">
        <f t="shared" si="20"/>
        <v>Normal Merchant Day</v>
      </c>
    </row>
    <row r="419" spans="1:15" x14ac:dyDescent="0.3">
      <c r="A419" t="s">
        <v>486</v>
      </c>
      <c r="B419">
        <v>242</v>
      </c>
      <c r="C419">
        <v>3</v>
      </c>
      <c r="D419" s="1">
        <v>46052.124305555553</v>
      </c>
      <c r="E419">
        <v>49</v>
      </c>
      <c r="F419" t="s">
        <v>66</v>
      </c>
      <c r="G419" t="s">
        <v>64</v>
      </c>
      <c r="H419">
        <v>36</v>
      </c>
      <c r="I419" t="str">
        <f>IFERROR(VLOOKUP(C419,Merchants!$A$2:$D$41,2,FALSE),"Merchant not found")</f>
        <v>Merchant_003</v>
      </c>
      <c r="J419" t="str">
        <f>IFERROR(VLOOKUP(C419,Merchants!$A$2:$D$41,3,FALSE),"Merchant not found")</f>
        <v>grocery</v>
      </c>
      <c r="K419" t="str">
        <f>IFERROR(VLOOKUP(C419,Merchants!$A$2:$D$41,4,FALSE),"Merchant not found")</f>
        <v>East</v>
      </c>
      <c r="L419" s="2">
        <f>HLOOKUP(F419,Fee_lookup!$A$2:$E$3,2,FALSE)</f>
        <v>2.0000000000000001E-4</v>
      </c>
      <c r="M419" s="6">
        <f t="shared" si="18"/>
        <v>46052</v>
      </c>
      <c r="N419">
        <f t="shared" si="19"/>
        <v>49</v>
      </c>
      <c r="O419" t="str">
        <f t="shared" si="20"/>
        <v>Normal Merchant Day</v>
      </c>
    </row>
    <row r="420" spans="1:15" x14ac:dyDescent="0.3">
      <c r="A420" t="s">
        <v>487</v>
      </c>
      <c r="B420">
        <v>70</v>
      </c>
      <c r="C420">
        <v>27</v>
      </c>
      <c r="D420" s="1">
        <v>46036.242361111108</v>
      </c>
      <c r="E420">
        <v>149</v>
      </c>
      <c r="F420" t="s">
        <v>66</v>
      </c>
      <c r="G420" t="s">
        <v>64</v>
      </c>
      <c r="H420">
        <v>47</v>
      </c>
      <c r="I420" t="str">
        <f>IFERROR(VLOOKUP(C420,Merchants!$A$2:$D$41,2,FALSE),"Merchant not found")</f>
        <v>Merchant_027</v>
      </c>
      <c r="J420" t="str">
        <f>IFERROR(VLOOKUP(C420,Merchants!$A$2:$D$41,3,FALSE),"Merchant not found")</f>
        <v>ecommerce</v>
      </c>
      <c r="K420" t="str">
        <f>IFERROR(VLOOKUP(C420,Merchants!$A$2:$D$41,4,FALSE),"Merchant not found")</f>
        <v>North</v>
      </c>
      <c r="L420" s="2">
        <f>HLOOKUP(F420,Fee_lookup!$A$2:$E$3,2,FALSE)</f>
        <v>2.0000000000000001E-4</v>
      </c>
      <c r="M420" s="6">
        <f t="shared" si="18"/>
        <v>46036</v>
      </c>
      <c r="N420">
        <f t="shared" si="19"/>
        <v>149</v>
      </c>
      <c r="O420" t="str">
        <f t="shared" si="20"/>
        <v>Normal Merchant Day</v>
      </c>
    </row>
    <row r="421" spans="1:15" x14ac:dyDescent="0.3">
      <c r="A421" t="s">
        <v>488</v>
      </c>
      <c r="B421">
        <v>194</v>
      </c>
      <c r="C421">
        <v>25</v>
      </c>
      <c r="D421" s="1">
        <v>46051.519444444442</v>
      </c>
      <c r="E421">
        <v>49</v>
      </c>
      <c r="F421" t="s">
        <v>63</v>
      </c>
      <c r="G421" t="s">
        <v>64</v>
      </c>
      <c r="H421">
        <v>10</v>
      </c>
      <c r="I421" t="str">
        <f>IFERROR(VLOOKUP(C421,Merchants!$A$2:$D$41,2,FALSE),"Merchant not found")</f>
        <v>Merchant_025</v>
      </c>
      <c r="J421" t="str">
        <f>IFERROR(VLOOKUP(C421,Merchants!$A$2:$D$41,3,FALSE),"Merchant not found")</f>
        <v>travel</v>
      </c>
      <c r="K421" t="str">
        <f>IFERROR(VLOOKUP(C421,Merchants!$A$2:$D$41,4,FALSE),"Merchant not found")</f>
        <v>South</v>
      </c>
      <c r="L421" s="2">
        <f>HLOOKUP(F421,Fee_lookup!$A$2:$E$3,2,FALSE)</f>
        <v>5.0000000000000001E-4</v>
      </c>
      <c r="M421" s="6">
        <f t="shared" si="18"/>
        <v>46051</v>
      </c>
      <c r="N421">
        <f t="shared" si="19"/>
        <v>3048</v>
      </c>
      <c r="O421" t="str">
        <f t="shared" si="20"/>
        <v>Normal Merchant Day</v>
      </c>
    </row>
    <row r="422" spans="1:15" x14ac:dyDescent="0.3">
      <c r="A422" t="s">
        <v>489</v>
      </c>
      <c r="B422">
        <v>277</v>
      </c>
      <c r="C422">
        <v>9</v>
      </c>
      <c r="D422" s="1">
        <v>46044.913194444445</v>
      </c>
      <c r="E422">
        <v>799</v>
      </c>
      <c r="F422" t="s">
        <v>66</v>
      </c>
      <c r="G422" t="s">
        <v>64</v>
      </c>
      <c r="H422">
        <v>83</v>
      </c>
      <c r="I422" t="str">
        <f>IFERROR(VLOOKUP(C422,Merchants!$A$2:$D$41,2,FALSE),"Merchant not found")</f>
        <v>Merchant_009</v>
      </c>
      <c r="J422" t="str">
        <f>IFERROR(VLOOKUP(C422,Merchants!$A$2:$D$41,3,FALSE),"Merchant not found")</f>
        <v>ecommerce</v>
      </c>
      <c r="K422" t="str">
        <f>IFERROR(VLOOKUP(C422,Merchants!$A$2:$D$41,4,FALSE),"Merchant not found")</f>
        <v>North</v>
      </c>
      <c r="L422" s="2">
        <f>HLOOKUP(F422,Fee_lookup!$A$2:$E$3,2,FALSE)</f>
        <v>2.0000000000000001E-4</v>
      </c>
      <c r="M422" s="6">
        <f t="shared" si="18"/>
        <v>46044</v>
      </c>
      <c r="N422">
        <f t="shared" si="19"/>
        <v>1298</v>
      </c>
      <c r="O422" t="str">
        <f t="shared" si="20"/>
        <v>Normal Merchant Day</v>
      </c>
    </row>
    <row r="423" spans="1:15" x14ac:dyDescent="0.3">
      <c r="A423" t="s">
        <v>490</v>
      </c>
      <c r="B423">
        <v>92</v>
      </c>
      <c r="C423">
        <v>35</v>
      </c>
      <c r="D423" s="1">
        <v>46050.463194444441</v>
      </c>
      <c r="E423">
        <v>49</v>
      </c>
      <c r="F423" t="s">
        <v>66</v>
      </c>
      <c r="G423" t="s">
        <v>64</v>
      </c>
      <c r="H423">
        <v>50</v>
      </c>
      <c r="I423" t="str">
        <f>IFERROR(VLOOKUP(C423,Merchants!$A$2:$D$41,2,FALSE),"Merchant not found")</f>
        <v>Merchant_035</v>
      </c>
      <c r="J423" t="str">
        <f>IFERROR(VLOOKUP(C423,Merchants!$A$2:$D$41,3,FALSE),"Merchant not found")</f>
        <v>recharge</v>
      </c>
      <c r="K423" t="str">
        <f>IFERROR(VLOOKUP(C423,Merchants!$A$2:$D$41,4,FALSE),"Merchant not found")</f>
        <v>East</v>
      </c>
      <c r="L423" s="2">
        <f>HLOOKUP(F423,Fee_lookup!$A$2:$E$3,2,FALSE)</f>
        <v>2.0000000000000001E-4</v>
      </c>
      <c r="M423" s="6">
        <f t="shared" si="18"/>
        <v>46050</v>
      </c>
      <c r="N423">
        <f t="shared" si="19"/>
        <v>49</v>
      </c>
      <c r="O423" t="str">
        <f t="shared" si="20"/>
        <v>Normal Merchant Day</v>
      </c>
    </row>
    <row r="424" spans="1:15" x14ac:dyDescent="0.3">
      <c r="A424" t="s">
        <v>491</v>
      </c>
      <c r="B424">
        <v>115</v>
      </c>
      <c r="C424">
        <v>1</v>
      </c>
      <c r="D424" s="1">
        <v>46039.198611111111</v>
      </c>
      <c r="E424">
        <v>149</v>
      </c>
      <c r="F424" t="s">
        <v>63</v>
      </c>
      <c r="G424" t="s">
        <v>64</v>
      </c>
      <c r="H424">
        <v>96</v>
      </c>
      <c r="I424" t="str">
        <f>IFERROR(VLOOKUP(C424,Merchants!$A$2:$D$41,2,FALSE),"Merchant not found")</f>
        <v>Merchant_001</v>
      </c>
      <c r="J424" t="str">
        <f>IFERROR(VLOOKUP(C424,Merchants!$A$2:$D$41,3,FALSE),"Merchant not found")</f>
        <v>ecommerce</v>
      </c>
      <c r="K424" t="str">
        <f>IFERROR(VLOOKUP(C424,Merchants!$A$2:$D$41,4,FALSE),"Merchant not found")</f>
        <v>South</v>
      </c>
      <c r="L424" s="2">
        <f>HLOOKUP(F424,Fee_lookup!$A$2:$E$3,2,FALSE)</f>
        <v>5.0000000000000001E-4</v>
      </c>
      <c r="M424" s="6">
        <f t="shared" si="18"/>
        <v>46039</v>
      </c>
      <c r="N424">
        <f t="shared" si="19"/>
        <v>149</v>
      </c>
      <c r="O424" t="str">
        <f t="shared" si="20"/>
        <v>Normal Merchant Day</v>
      </c>
    </row>
    <row r="425" spans="1:15" x14ac:dyDescent="0.3">
      <c r="A425" t="s">
        <v>492</v>
      </c>
      <c r="B425">
        <v>345</v>
      </c>
      <c r="C425">
        <v>35</v>
      </c>
      <c r="D425" s="1">
        <v>46023.395138888889</v>
      </c>
      <c r="E425">
        <v>499</v>
      </c>
      <c r="F425" t="s">
        <v>78</v>
      </c>
      <c r="G425" t="s">
        <v>64</v>
      </c>
      <c r="H425">
        <v>54</v>
      </c>
      <c r="I425" t="str">
        <f>IFERROR(VLOOKUP(C425,Merchants!$A$2:$D$41,2,FALSE),"Merchant not found")</f>
        <v>Merchant_035</v>
      </c>
      <c r="J425" t="str">
        <f>IFERROR(VLOOKUP(C425,Merchants!$A$2:$D$41,3,FALSE),"Merchant not found")</f>
        <v>recharge</v>
      </c>
      <c r="K425" t="str">
        <f>IFERROR(VLOOKUP(C425,Merchants!$A$2:$D$41,4,FALSE),"Merchant not found")</f>
        <v>East</v>
      </c>
      <c r="L425" s="2">
        <f>HLOOKUP(F425,Fee_lookup!$A$2:$E$3,2,FALSE)</f>
        <v>1.4999999999999999E-2</v>
      </c>
      <c r="M425" s="6">
        <f t="shared" si="18"/>
        <v>46023</v>
      </c>
      <c r="N425">
        <f t="shared" si="19"/>
        <v>798</v>
      </c>
      <c r="O425" t="str">
        <f t="shared" si="20"/>
        <v>Normal Merchant Day</v>
      </c>
    </row>
    <row r="426" spans="1:15" x14ac:dyDescent="0.3">
      <c r="A426" t="s">
        <v>493</v>
      </c>
      <c r="B426">
        <v>118</v>
      </c>
      <c r="C426">
        <v>16</v>
      </c>
      <c r="D426" s="1">
        <v>46040.536111111112</v>
      </c>
      <c r="E426">
        <v>49</v>
      </c>
      <c r="F426" t="s">
        <v>66</v>
      </c>
      <c r="G426" t="s">
        <v>64</v>
      </c>
      <c r="H426">
        <v>58</v>
      </c>
      <c r="I426" t="str">
        <f>IFERROR(VLOOKUP(C426,Merchants!$A$2:$D$41,2,FALSE),"Merchant not found")</f>
        <v>Merchant_016</v>
      </c>
      <c r="J426" t="str">
        <f>IFERROR(VLOOKUP(C426,Merchants!$A$2:$D$41,3,FALSE),"Merchant not found")</f>
        <v>bill_payment</v>
      </c>
      <c r="K426" t="str">
        <f>IFERROR(VLOOKUP(C426,Merchants!$A$2:$D$41,4,FALSE),"Merchant not found")</f>
        <v>West</v>
      </c>
      <c r="L426" s="2">
        <f>HLOOKUP(F426,Fee_lookup!$A$2:$E$3,2,FALSE)</f>
        <v>2.0000000000000001E-4</v>
      </c>
      <c r="M426" s="6">
        <f t="shared" si="18"/>
        <v>46040</v>
      </c>
      <c r="N426">
        <f t="shared" si="19"/>
        <v>49</v>
      </c>
      <c r="O426" t="str">
        <f t="shared" si="20"/>
        <v>Normal Merchant Day</v>
      </c>
    </row>
    <row r="427" spans="1:15" x14ac:dyDescent="0.3">
      <c r="A427" t="s">
        <v>494</v>
      </c>
      <c r="B427">
        <v>97</v>
      </c>
      <c r="C427">
        <v>8</v>
      </c>
      <c r="D427" s="1">
        <v>46034.178472222222</v>
      </c>
      <c r="E427">
        <v>99</v>
      </c>
      <c r="F427" t="s">
        <v>69</v>
      </c>
      <c r="G427" t="s">
        <v>64</v>
      </c>
      <c r="H427">
        <v>4</v>
      </c>
      <c r="I427" t="str">
        <f>IFERROR(VLOOKUP(C427,Merchants!$A$2:$D$41,2,FALSE),"Merchant not found")</f>
        <v>Merchant_008</v>
      </c>
      <c r="J427" t="str">
        <f>IFERROR(VLOOKUP(C427,Merchants!$A$2:$D$41,3,FALSE),"Merchant not found")</f>
        <v>food_delivery</v>
      </c>
      <c r="K427" t="str">
        <f>IFERROR(VLOOKUP(C427,Merchants!$A$2:$D$41,4,FALSE),"Merchant not found")</f>
        <v>North</v>
      </c>
      <c r="L427" s="2">
        <f>HLOOKUP(F427,Fee_lookup!$A$2:$E$3,2,FALSE)</f>
        <v>0.01</v>
      </c>
      <c r="M427" s="6">
        <f t="shared" si="18"/>
        <v>46034</v>
      </c>
      <c r="N427">
        <f t="shared" si="19"/>
        <v>398</v>
      </c>
      <c r="O427" t="str">
        <f t="shared" si="20"/>
        <v>Normal Merchant Day</v>
      </c>
    </row>
    <row r="428" spans="1:15" x14ac:dyDescent="0.3">
      <c r="A428" t="s">
        <v>495</v>
      </c>
      <c r="B428">
        <v>315</v>
      </c>
      <c r="C428">
        <v>2</v>
      </c>
      <c r="D428" s="1">
        <v>46048.893055555556</v>
      </c>
      <c r="E428">
        <v>299</v>
      </c>
      <c r="F428" t="s">
        <v>63</v>
      </c>
      <c r="G428" t="s">
        <v>64</v>
      </c>
      <c r="H428">
        <v>30</v>
      </c>
      <c r="I428" t="str">
        <f>IFERROR(VLOOKUP(C428,Merchants!$A$2:$D$41,2,FALSE),"Merchant not found")</f>
        <v>Merchant_002</v>
      </c>
      <c r="J428" t="str">
        <f>IFERROR(VLOOKUP(C428,Merchants!$A$2:$D$41,3,FALSE),"Merchant not found")</f>
        <v>grocery</v>
      </c>
      <c r="K428" t="str">
        <f>IFERROR(VLOOKUP(C428,Merchants!$A$2:$D$41,4,FALSE),"Merchant not found")</f>
        <v>West</v>
      </c>
      <c r="L428" s="2">
        <f>HLOOKUP(F428,Fee_lookup!$A$2:$E$3,2,FALSE)</f>
        <v>5.0000000000000001E-4</v>
      </c>
      <c r="M428" s="6">
        <f t="shared" si="18"/>
        <v>46048</v>
      </c>
      <c r="N428">
        <f t="shared" si="19"/>
        <v>299</v>
      </c>
      <c r="O428" t="str">
        <f t="shared" si="20"/>
        <v>Normal Merchant Day</v>
      </c>
    </row>
    <row r="429" spans="1:15" x14ac:dyDescent="0.3">
      <c r="A429" t="s">
        <v>496</v>
      </c>
      <c r="B429">
        <v>305</v>
      </c>
      <c r="C429">
        <v>3</v>
      </c>
      <c r="D429" s="1">
        <v>46029.087500000001</v>
      </c>
      <c r="E429">
        <v>299</v>
      </c>
      <c r="F429" t="s">
        <v>66</v>
      </c>
      <c r="G429" t="s">
        <v>64</v>
      </c>
      <c r="H429">
        <v>57</v>
      </c>
      <c r="I429" t="str">
        <f>IFERROR(VLOOKUP(C429,Merchants!$A$2:$D$41,2,FALSE),"Merchant not found")</f>
        <v>Merchant_003</v>
      </c>
      <c r="J429" t="str">
        <f>IFERROR(VLOOKUP(C429,Merchants!$A$2:$D$41,3,FALSE),"Merchant not found")</f>
        <v>grocery</v>
      </c>
      <c r="K429" t="str">
        <f>IFERROR(VLOOKUP(C429,Merchants!$A$2:$D$41,4,FALSE),"Merchant not found")</f>
        <v>East</v>
      </c>
      <c r="L429" s="2">
        <f>HLOOKUP(F429,Fee_lookup!$A$2:$E$3,2,FALSE)</f>
        <v>2.0000000000000001E-4</v>
      </c>
      <c r="M429" s="6">
        <f t="shared" si="18"/>
        <v>46029</v>
      </c>
      <c r="N429">
        <f t="shared" si="19"/>
        <v>798</v>
      </c>
      <c r="O429" t="str">
        <f t="shared" si="20"/>
        <v>Normal Merchant Day</v>
      </c>
    </row>
    <row r="430" spans="1:15" x14ac:dyDescent="0.3">
      <c r="A430" t="s">
        <v>497</v>
      </c>
      <c r="B430">
        <v>25</v>
      </c>
      <c r="C430">
        <v>16</v>
      </c>
      <c r="D430" s="1">
        <v>46042.90625</v>
      </c>
      <c r="E430">
        <v>299</v>
      </c>
      <c r="F430" t="s">
        <v>66</v>
      </c>
      <c r="G430" t="s">
        <v>64</v>
      </c>
      <c r="H430">
        <v>94</v>
      </c>
      <c r="I430" t="str">
        <f>IFERROR(VLOOKUP(C430,Merchants!$A$2:$D$41,2,FALSE),"Merchant not found")</f>
        <v>Merchant_016</v>
      </c>
      <c r="J430" t="str">
        <f>IFERROR(VLOOKUP(C430,Merchants!$A$2:$D$41,3,FALSE),"Merchant not found")</f>
        <v>bill_payment</v>
      </c>
      <c r="K430" t="str">
        <f>IFERROR(VLOOKUP(C430,Merchants!$A$2:$D$41,4,FALSE),"Merchant not found")</f>
        <v>West</v>
      </c>
      <c r="L430" s="2">
        <f>HLOOKUP(F430,Fee_lookup!$A$2:$E$3,2,FALSE)</f>
        <v>2.0000000000000001E-4</v>
      </c>
      <c r="M430" s="6">
        <f t="shared" si="18"/>
        <v>46042</v>
      </c>
      <c r="N430">
        <f t="shared" si="19"/>
        <v>448</v>
      </c>
      <c r="O430" t="str">
        <f t="shared" si="20"/>
        <v>Normal Merchant Day</v>
      </c>
    </row>
    <row r="431" spans="1:15" x14ac:dyDescent="0.3">
      <c r="A431" t="s">
        <v>498</v>
      </c>
      <c r="B431">
        <v>120</v>
      </c>
      <c r="C431">
        <v>35</v>
      </c>
      <c r="D431" s="1">
        <v>46024.519444444442</v>
      </c>
      <c r="E431">
        <v>49</v>
      </c>
      <c r="F431" t="s">
        <v>66</v>
      </c>
      <c r="G431" t="s">
        <v>64</v>
      </c>
      <c r="H431">
        <v>27</v>
      </c>
      <c r="I431" t="str">
        <f>IFERROR(VLOOKUP(C431,Merchants!$A$2:$D$41,2,FALSE),"Merchant not found")</f>
        <v>Merchant_035</v>
      </c>
      <c r="J431" t="str">
        <f>IFERROR(VLOOKUP(C431,Merchants!$A$2:$D$41,3,FALSE),"Merchant not found")</f>
        <v>recharge</v>
      </c>
      <c r="K431" t="str">
        <f>IFERROR(VLOOKUP(C431,Merchants!$A$2:$D$41,4,FALSE),"Merchant not found")</f>
        <v>East</v>
      </c>
      <c r="L431" s="2">
        <f>HLOOKUP(F431,Fee_lookup!$A$2:$E$3,2,FALSE)</f>
        <v>2.0000000000000001E-4</v>
      </c>
      <c r="M431" s="6">
        <f t="shared" si="18"/>
        <v>46024</v>
      </c>
      <c r="N431">
        <f t="shared" si="19"/>
        <v>1847</v>
      </c>
      <c r="O431" t="str">
        <f t="shared" si="20"/>
        <v>Normal Merchant Day</v>
      </c>
    </row>
    <row r="432" spans="1:15" x14ac:dyDescent="0.3">
      <c r="A432" t="s">
        <v>499</v>
      </c>
      <c r="B432">
        <v>258</v>
      </c>
      <c r="C432">
        <v>19</v>
      </c>
      <c r="D432" s="1">
        <v>46047.047222222223</v>
      </c>
      <c r="E432">
        <v>49</v>
      </c>
      <c r="F432" t="s">
        <v>63</v>
      </c>
      <c r="G432" t="s">
        <v>64</v>
      </c>
      <c r="H432">
        <v>29</v>
      </c>
      <c r="I432" t="str">
        <f>IFERROR(VLOOKUP(C432,Merchants!$A$2:$D$41,2,FALSE),"Merchant not found")</f>
        <v>Merchant_019</v>
      </c>
      <c r="J432" t="str">
        <f>IFERROR(VLOOKUP(C432,Merchants!$A$2:$D$41,3,FALSE),"Merchant not found")</f>
        <v>grocery</v>
      </c>
      <c r="K432" t="str">
        <f>IFERROR(VLOOKUP(C432,Merchants!$A$2:$D$41,4,FALSE),"Merchant not found")</f>
        <v>North</v>
      </c>
      <c r="L432" s="2">
        <f>HLOOKUP(F432,Fee_lookup!$A$2:$E$3,2,FALSE)</f>
        <v>5.0000000000000001E-4</v>
      </c>
      <c r="M432" s="6">
        <f t="shared" si="18"/>
        <v>46047</v>
      </c>
      <c r="N432">
        <f t="shared" si="19"/>
        <v>49</v>
      </c>
      <c r="O432" t="str">
        <f t="shared" si="20"/>
        <v>Normal Merchant Day</v>
      </c>
    </row>
    <row r="433" spans="1:15" x14ac:dyDescent="0.3">
      <c r="A433" t="s">
        <v>500</v>
      </c>
      <c r="B433">
        <v>164</v>
      </c>
      <c r="C433">
        <v>37</v>
      </c>
      <c r="D433" s="1">
        <v>46049.98333333333</v>
      </c>
      <c r="E433">
        <v>799</v>
      </c>
      <c r="F433" t="s">
        <v>66</v>
      </c>
      <c r="G433" t="s">
        <v>64</v>
      </c>
      <c r="H433">
        <v>76</v>
      </c>
      <c r="I433" t="str">
        <f>IFERROR(VLOOKUP(C433,Merchants!$A$2:$D$41,2,FALSE),"Merchant not found")</f>
        <v>Merchant_037</v>
      </c>
      <c r="J433" t="str">
        <f>IFERROR(VLOOKUP(C433,Merchants!$A$2:$D$41,3,FALSE),"Merchant not found")</f>
        <v>entertainment</v>
      </c>
      <c r="K433" t="str">
        <f>IFERROR(VLOOKUP(C433,Merchants!$A$2:$D$41,4,FALSE),"Merchant not found")</f>
        <v>South</v>
      </c>
      <c r="L433" s="2">
        <f>HLOOKUP(F433,Fee_lookup!$A$2:$E$3,2,FALSE)</f>
        <v>2.0000000000000001E-4</v>
      </c>
      <c r="M433" s="6">
        <f t="shared" si="18"/>
        <v>46049</v>
      </c>
      <c r="N433">
        <f t="shared" si="19"/>
        <v>799</v>
      </c>
      <c r="O433" t="str">
        <f t="shared" si="20"/>
        <v>Normal Merchant Day</v>
      </c>
    </row>
    <row r="434" spans="1:15" x14ac:dyDescent="0.3">
      <c r="A434" t="s">
        <v>501</v>
      </c>
      <c r="B434">
        <v>165</v>
      </c>
      <c r="C434">
        <v>16</v>
      </c>
      <c r="D434" s="1">
        <v>46047.911111111112</v>
      </c>
      <c r="E434">
        <v>49</v>
      </c>
      <c r="F434" t="s">
        <v>63</v>
      </c>
      <c r="G434" t="s">
        <v>64</v>
      </c>
      <c r="H434">
        <v>38</v>
      </c>
      <c r="I434" t="str">
        <f>IFERROR(VLOOKUP(C434,Merchants!$A$2:$D$41,2,FALSE),"Merchant not found")</f>
        <v>Merchant_016</v>
      </c>
      <c r="J434" t="str">
        <f>IFERROR(VLOOKUP(C434,Merchants!$A$2:$D$41,3,FALSE),"Merchant not found")</f>
        <v>bill_payment</v>
      </c>
      <c r="K434" t="str">
        <f>IFERROR(VLOOKUP(C434,Merchants!$A$2:$D$41,4,FALSE),"Merchant not found")</f>
        <v>West</v>
      </c>
      <c r="L434" s="2">
        <f>HLOOKUP(F434,Fee_lookup!$A$2:$E$3,2,FALSE)</f>
        <v>5.0000000000000001E-4</v>
      </c>
      <c r="M434" s="6">
        <f t="shared" si="18"/>
        <v>46047</v>
      </c>
      <c r="N434">
        <f t="shared" si="19"/>
        <v>98</v>
      </c>
      <c r="O434" t="str">
        <f t="shared" si="20"/>
        <v>Normal Merchant Day</v>
      </c>
    </row>
    <row r="435" spans="1:15" x14ac:dyDescent="0.3">
      <c r="A435" t="s">
        <v>502</v>
      </c>
      <c r="B435">
        <v>267</v>
      </c>
      <c r="C435">
        <v>15</v>
      </c>
      <c r="D435" s="1">
        <v>46051.195833333331</v>
      </c>
      <c r="E435">
        <v>49</v>
      </c>
      <c r="F435" t="s">
        <v>69</v>
      </c>
      <c r="G435" t="s">
        <v>64</v>
      </c>
      <c r="H435">
        <v>52</v>
      </c>
      <c r="I435" t="str">
        <f>IFERROR(VLOOKUP(C435,Merchants!$A$2:$D$41,2,FALSE),"Merchant not found")</f>
        <v>Merchant_015</v>
      </c>
      <c r="J435" t="str">
        <f>IFERROR(VLOOKUP(C435,Merchants!$A$2:$D$41,3,FALSE),"Merchant not found")</f>
        <v>travel</v>
      </c>
      <c r="K435" t="str">
        <f>IFERROR(VLOOKUP(C435,Merchants!$A$2:$D$41,4,FALSE),"Merchant not found")</f>
        <v>North</v>
      </c>
      <c r="L435" s="2">
        <f>HLOOKUP(F435,Fee_lookup!$A$2:$E$3,2,FALSE)</f>
        <v>0.01</v>
      </c>
      <c r="M435" s="6">
        <f t="shared" si="18"/>
        <v>46051</v>
      </c>
      <c r="N435">
        <f t="shared" si="19"/>
        <v>98</v>
      </c>
      <c r="O435" t="str">
        <f t="shared" si="20"/>
        <v>Normal Merchant Day</v>
      </c>
    </row>
    <row r="436" spans="1:15" x14ac:dyDescent="0.3">
      <c r="A436" t="s">
        <v>503</v>
      </c>
      <c r="B436">
        <v>286</v>
      </c>
      <c r="C436">
        <v>38</v>
      </c>
      <c r="D436" s="1">
        <v>46032.335416666669</v>
      </c>
      <c r="E436">
        <v>299</v>
      </c>
      <c r="F436" t="s">
        <v>63</v>
      </c>
      <c r="G436" t="s">
        <v>64</v>
      </c>
      <c r="H436">
        <v>94</v>
      </c>
      <c r="I436" t="str">
        <f>IFERROR(VLOOKUP(C436,Merchants!$A$2:$D$41,2,FALSE),"Merchant not found")</f>
        <v>Merchant_038</v>
      </c>
      <c r="J436" t="str">
        <f>IFERROR(VLOOKUP(C436,Merchants!$A$2:$D$41,3,FALSE),"Merchant not found")</f>
        <v>grocery</v>
      </c>
      <c r="K436" t="str">
        <f>IFERROR(VLOOKUP(C436,Merchants!$A$2:$D$41,4,FALSE),"Merchant not found")</f>
        <v>East</v>
      </c>
      <c r="L436" s="2">
        <f>HLOOKUP(F436,Fee_lookup!$A$2:$E$3,2,FALSE)</f>
        <v>5.0000000000000001E-4</v>
      </c>
      <c r="M436" s="6">
        <f t="shared" si="18"/>
        <v>46032</v>
      </c>
      <c r="N436">
        <f t="shared" si="19"/>
        <v>398</v>
      </c>
      <c r="O436" t="str">
        <f t="shared" si="20"/>
        <v>Normal Merchant Day</v>
      </c>
    </row>
    <row r="437" spans="1:15" x14ac:dyDescent="0.3">
      <c r="A437" t="s">
        <v>504</v>
      </c>
      <c r="B437">
        <v>348</v>
      </c>
      <c r="C437">
        <v>28</v>
      </c>
      <c r="D437" s="1">
        <v>46052.236111111109</v>
      </c>
      <c r="E437">
        <v>499</v>
      </c>
      <c r="F437" t="s">
        <v>78</v>
      </c>
      <c r="G437" t="s">
        <v>64</v>
      </c>
      <c r="H437">
        <v>71</v>
      </c>
      <c r="I437" t="str">
        <f>IFERROR(VLOOKUP(C437,Merchants!$A$2:$D$41,2,FALSE),"Merchant not found")</f>
        <v>Merchant_028</v>
      </c>
      <c r="J437" t="str">
        <f>IFERROR(VLOOKUP(C437,Merchants!$A$2:$D$41,3,FALSE),"Merchant not found")</f>
        <v>ecommerce</v>
      </c>
      <c r="K437" t="str">
        <f>IFERROR(VLOOKUP(C437,Merchants!$A$2:$D$41,4,FALSE),"Merchant not found")</f>
        <v>South</v>
      </c>
      <c r="L437" s="2">
        <f>HLOOKUP(F437,Fee_lookup!$A$2:$E$3,2,FALSE)</f>
        <v>1.4999999999999999E-2</v>
      </c>
      <c r="M437" s="6">
        <f t="shared" si="18"/>
        <v>46052</v>
      </c>
      <c r="N437">
        <f t="shared" si="19"/>
        <v>499</v>
      </c>
      <c r="O437" t="str">
        <f t="shared" si="20"/>
        <v>Normal Merchant Day</v>
      </c>
    </row>
    <row r="438" spans="1:15" x14ac:dyDescent="0.3">
      <c r="A438" t="s">
        <v>505</v>
      </c>
      <c r="B438">
        <v>330</v>
      </c>
      <c r="C438">
        <v>25</v>
      </c>
      <c r="D438" s="1">
        <v>46038.056944444441</v>
      </c>
      <c r="E438">
        <v>799</v>
      </c>
      <c r="F438" t="s">
        <v>66</v>
      </c>
      <c r="G438" t="s">
        <v>64</v>
      </c>
      <c r="H438">
        <v>100</v>
      </c>
      <c r="I438" t="str">
        <f>IFERROR(VLOOKUP(C438,Merchants!$A$2:$D$41,2,FALSE),"Merchant not found")</f>
        <v>Merchant_025</v>
      </c>
      <c r="J438" t="str">
        <f>IFERROR(VLOOKUP(C438,Merchants!$A$2:$D$41,3,FALSE),"Merchant not found")</f>
        <v>travel</v>
      </c>
      <c r="K438" t="str">
        <f>IFERROR(VLOOKUP(C438,Merchants!$A$2:$D$41,4,FALSE),"Merchant not found")</f>
        <v>South</v>
      </c>
      <c r="L438" s="2">
        <f>HLOOKUP(F438,Fee_lookup!$A$2:$E$3,2,FALSE)</f>
        <v>2.0000000000000001E-4</v>
      </c>
      <c r="M438" s="6">
        <f t="shared" si="18"/>
        <v>46038</v>
      </c>
      <c r="N438">
        <f t="shared" si="19"/>
        <v>799</v>
      </c>
      <c r="O438" t="str">
        <f t="shared" si="20"/>
        <v>Normal Merchant Day</v>
      </c>
    </row>
    <row r="439" spans="1:15" x14ac:dyDescent="0.3">
      <c r="A439" t="s">
        <v>506</v>
      </c>
      <c r="B439">
        <v>214</v>
      </c>
      <c r="C439">
        <v>27</v>
      </c>
      <c r="D439" s="1">
        <v>46039.447222222225</v>
      </c>
      <c r="E439">
        <v>299</v>
      </c>
      <c r="F439" t="s">
        <v>78</v>
      </c>
      <c r="G439" t="s">
        <v>64</v>
      </c>
      <c r="H439">
        <v>19</v>
      </c>
      <c r="I439" t="str">
        <f>IFERROR(VLOOKUP(C439,Merchants!$A$2:$D$41,2,FALSE),"Merchant not found")</f>
        <v>Merchant_027</v>
      </c>
      <c r="J439" t="str">
        <f>IFERROR(VLOOKUP(C439,Merchants!$A$2:$D$41,3,FALSE),"Merchant not found")</f>
        <v>ecommerce</v>
      </c>
      <c r="K439" t="str">
        <f>IFERROR(VLOOKUP(C439,Merchants!$A$2:$D$41,4,FALSE),"Merchant not found")</f>
        <v>North</v>
      </c>
      <c r="L439" s="2">
        <f>HLOOKUP(F439,Fee_lookup!$A$2:$E$3,2,FALSE)</f>
        <v>1.4999999999999999E-2</v>
      </c>
      <c r="M439" s="6">
        <f t="shared" si="18"/>
        <v>46039</v>
      </c>
      <c r="N439">
        <f t="shared" si="19"/>
        <v>1597</v>
      </c>
      <c r="O439" t="str">
        <f t="shared" si="20"/>
        <v>Normal Merchant Day</v>
      </c>
    </row>
    <row r="440" spans="1:15" x14ac:dyDescent="0.3">
      <c r="A440" t="s">
        <v>507</v>
      </c>
      <c r="B440">
        <v>276</v>
      </c>
      <c r="C440">
        <v>31</v>
      </c>
      <c r="D440" s="1">
        <v>46032.507638888892</v>
      </c>
      <c r="E440">
        <v>499</v>
      </c>
      <c r="F440" t="s">
        <v>66</v>
      </c>
      <c r="G440" t="s">
        <v>64</v>
      </c>
      <c r="H440">
        <v>30</v>
      </c>
      <c r="I440" t="str">
        <f>IFERROR(VLOOKUP(C440,Merchants!$A$2:$D$41,2,FALSE),"Merchant not found")</f>
        <v>Merchant_031</v>
      </c>
      <c r="J440" t="str">
        <f>IFERROR(VLOOKUP(C440,Merchants!$A$2:$D$41,3,FALSE),"Merchant not found")</f>
        <v>bill_payment</v>
      </c>
      <c r="K440" t="str">
        <f>IFERROR(VLOOKUP(C440,Merchants!$A$2:$D$41,4,FALSE),"Merchant not found")</f>
        <v>East</v>
      </c>
      <c r="L440" s="2">
        <f>HLOOKUP(F440,Fee_lookup!$A$2:$E$3,2,FALSE)</f>
        <v>2.0000000000000001E-4</v>
      </c>
      <c r="M440" s="6">
        <f t="shared" si="18"/>
        <v>46032</v>
      </c>
      <c r="N440">
        <f t="shared" si="19"/>
        <v>499</v>
      </c>
      <c r="O440" t="str">
        <f t="shared" si="20"/>
        <v>Normal Merchant Day</v>
      </c>
    </row>
    <row r="441" spans="1:15" x14ac:dyDescent="0.3">
      <c r="A441" t="s">
        <v>508</v>
      </c>
      <c r="B441">
        <v>74</v>
      </c>
      <c r="C441">
        <v>30</v>
      </c>
      <c r="D441" s="1">
        <v>46050.304861111108</v>
      </c>
      <c r="E441">
        <v>49</v>
      </c>
      <c r="F441" t="s">
        <v>66</v>
      </c>
      <c r="G441" t="s">
        <v>64</v>
      </c>
      <c r="H441">
        <v>7</v>
      </c>
      <c r="I441" t="str">
        <f>IFERROR(VLOOKUP(C441,Merchants!$A$2:$D$41,2,FALSE),"Merchant not found")</f>
        <v>Merchant_030</v>
      </c>
      <c r="J441" t="str">
        <f>IFERROR(VLOOKUP(C441,Merchants!$A$2:$D$41,3,FALSE),"Merchant not found")</f>
        <v>travel</v>
      </c>
      <c r="K441" t="str">
        <f>IFERROR(VLOOKUP(C441,Merchants!$A$2:$D$41,4,FALSE),"Merchant not found")</f>
        <v>West</v>
      </c>
      <c r="L441" s="2">
        <f>HLOOKUP(F441,Fee_lookup!$A$2:$E$3,2,FALSE)</f>
        <v>2.0000000000000001E-4</v>
      </c>
      <c r="M441" s="6">
        <f t="shared" si="18"/>
        <v>46050</v>
      </c>
      <c r="N441">
        <f t="shared" si="19"/>
        <v>49</v>
      </c>
      <c r="O441" t="str">
        <f t="shared" si="20"/>
        <v>Normal Merchant Day</v>
      </c>
    </row>
    <row r="442" spans="1:15" x14ac:dyDescent="0.3">
      <c r="A442" t="s">
        <v>509</v>
      </c>
      <c r="B442">
        <v>286</v>
      </c>
      <c r="C442">
        <v>34</v>
      </c>
      <c r="D442" s="1">
        <v>46040.55972222222</v>
      </c>
      <c r="E442">
        <v>49</v>
      </c>
      <c r="F442" t="s">
        <v>78</v>
      </c>
      <c r="G442" t="s">
        <v>64</v>
      </c>
      <c r="H442">
        <v>17</v>
      </c>
      <c r="I442" t="str">
        <f>IFERROR(VLOOKUP(C442,Merchants!$A$2:$D$41,2,FALSE),"Merchant not found")</f>
        <v>Merchant_034</v>
      </c>
      <c r="J442" t="str">
        <f>IFERROR(VLOOKUP(C442,Merchants!$A$2:$D$41,3,FALSE),"Merchant not found")</f>
        <v>travel</v>
      </c>
      <c r="K442" t="str">
        <f>IFERROR(VLOOKUP(C442,Merchants!$A$2:$D$41,4,FALSE),"Merchant not found")</f>
        <v>South</v>
      </c>
      <c r="L442" s="2">
        <f>HLOOKUP(F442,Fee_lookup!$A$2:$E$3,2,FALSE)</f>
        <v>1.4999999999999999E-2</v>
      </c>
      <c r="M442" s="6">
        <f t="shared" si="18"/>
        <v>46040</v>
      </c>
      <c r="N442">
        <f t="shared" si="19"/>
        <v>148</v>
      </c>
      <c r="O442" t="str">
        <f t="shared" si="20"/>
        <v>Normal Merchant Day</v>
      </c>
    </row>
    <row r="443" spans="1:15" x14ac:dyDescent="0.3">
      <c r="A443" t="s">
        <v>510</v>
      </c>
      <c r="B443">
        <v>105</v>
      </c>
      <c r="C443">
        <v>22</v>
      </c>
      <c r="D443" s="1">
        <v>46035.302777777775</v>
      </c>
      <c r="E443">
        <v>4999</v>
      </c>
      <c r="F443" t="s">
        <v>66</v>
      </c>
      <c r="G443" t="s">
        <v>64</v>
      </c>
      <c r="H443">
        <v>82</v>
      </c>
      <c r="I443" t="str">
        <f>IFERROR(VLOOKUP(C443,Merchants!$A$2:$D$41,2,FALSE),"Merchant not found")</f>
        <v>Merchant_022</v>
      </c>
      <c r="J443" t="str">
        <f>IFERROR(VLOOKUP(C443,Merchants!$A$2:$D$41,3,FALSE),"Merchant not found")</f>
        <v>travel</v>
      </c>
      <c r="K443" t="str">
        <f>IFERROR(VLOOKUP(C443,Merchants!$A$2:$D$41,4,FALSE),"Merchant not found")</f>
        <v>South</v>
      </c>
      <c r="L443" s="2">
        <f>HLOOKUP(F443,Fee_lookup!$A$2:$E$3,2,FALSE)</f>
        <v>2.0000000000000001E-4</v>
      </c>
      <c r="M443" s="6">
        <f t="shared" si="18"/>
        <v>46035</v>
      </c>
      <c r="N443">
        <f t="shared" si="19"/>
        <v>5798</v>
      </c>
      <c r="O443" t="str">
        <f t="shared" si="20"/>
        <v>High-Value Merchant Day</v>
      </c>
    </row>
    <row r="444" spans="1:15" x14ac:dyDescent="0.3">
      <c r="A444" t="s">
        <v>511</v>
      </c>
      <c r="B444">
        <v>190</v>
      </c>
      <c r="C444">
        <v>6</v>
      </c>
      <c r="D444" s="1">
        <v>46025.620833333334</v>
      </c>
      <c r="E444">
        <v>799</v>
      </c>
      <c r="F444" t="s">
        <v>63</v>
      </c>
      <c r="G444" t="s">
        <v>64</v>
      </c>
      <c r="H444">
        <v>68</v>
      </c>
      <c r="I444" t="str">
        <f>IFERROR(VLOOKUP(C444,Merchants!$A$2:$D$41,2,FALSE),"Merchant not found")</f>
        <v>Merchant_006</v>
      </c>
      <c r="J444" t="str">
        <f>IFERROR(VLOOKUP(C444,Merchants!$A$2:$D$41,3,FALSE),"Merchant not found")</f>
        <v>food_delivery</v>
      </c>
      <c r="K444" t="str">
        <f>IFERROR(VLOOKUP(C444,Merchants!$A$2:$D$41,4,FALSE),"Merchant not found")</f>
        <v>South</v>
      </c>
      <c r="L444" s="2">
        <f>HLOOKUP(F444,Fee_lookup!$A$2:$E$3,2,FALSE)</f>
        <v>5.0000000000000001E-4</v>
      </c>
      <c r="M444" s="6">
        <f t="shared" si="18"/>
        <v>46025</v>
      </c>
      <c r="N444">
        <f t="shared" si="19"/>
        <v>799</v>
      </c>
      <c r="O444" t="str">
        <f t="shared" si="20"/>
        <v>Normal Merchant Day</v>
      </c>
    </row>
    <row r="445" spans="1:15" x14ac:dyDescent="0.3">
      <c r="A445" t="s">
        <v>512</v>
      </c>
      <c r="B445">
        <v>138</v>
      </c>
      <c r="C445">
        <v>25</v>
      </c>
      <c r="D445" s="1">
        <v>46046.252083333333</v>
      </c>
      <c r="E445">
        <v>299</v>
      </c>
      <c r="F445" t="s">
        <v>63</v>
      </c>
      <c r="G445" t="s">
        <v>64</v>
      </c>
      <c r="H445">
        <v>86</v>
      </c>
      <c r="I445" t="str">
        <f>IFERROR(VLOOKUP(C445,Merchants!$A$2:$D$41,2,FALSE),"Merchant not found")</f>
        <v>Merchant_025</v>
      </c>
      <c r="J445" t="str">
        <f>IFERROR(VLOOKUP(C445,Merchants!$A$2:$D$41,3,FALSE),"Merchant not found")</f>
        <v>travel</v>
      </c>
      <c r="K445" t="str">
        <f>IFERROR(VLOOKUP(C445,Merchants!$A$2:$D$41,4,FALSE),"Merchant not found")</f>
        <v>South</v>
      </c>
      <c r="L445" s="2">
        <f>HLOOKUP(F445,Fee_lookup!$A$2:$E$3,2,FALSE)</f>
        <v>5.0000000000000001E-4</v>
      </c>
      <c r="M445" s="6">
        <f t="shared" si="18"/>
        <v>46046</v>
      </c>
      <c r="N445">
        <f t="shared" si="19"/>
        <v>497</v>
      </c>
      <c r="O445" t="str">
        <f t="shared" si="20"/>
        <v>Normal Merchant Day</v>
      </c>
    </row>
    <row r="446" spans="1:15" x14ac:dyDescent="0.3">
      <c r="A446" t="s">
        <v>513</v>
      </c>
      <c r="B446">
        <v>38</v>
      </c>
      <c r="C446">
        <v>13</v>
      </c>
      <c r="D446" s="1">
        <v>46042.793055555558</v>
      </c>
      <c r="E446">
        <v>4999</v>
      </c>
      <c r="F446" t="s">
        <v>69</v>
      </c>
      <c r="G446" t="s">
        <v>64</v>
      </c>
      <c r="H446">
        <v>97</v>
      </c>
      <c r="I446" t="str">
        <f>IFERROR(VLOOKUP(C446,Merchants!$A$2:$D$41,2,FALSE),"Merchant not found")</f>
        <v>Merchant_013</v>
      </c>
      <c r="J446" t="str">
        <f>IFERROR(VLOOKUP(C446,Merchants!$A$2:$D$41,3,FALSE),"Merchant not found")</f>
        <v>travel</v>
      </c>
      <c r="K446" t="str">
        <f>IFERROR(VLOOKUP(C446,Merchants!$A$2:$D$41,4,FALSE),"Merchant not found")</f>
        <v>East</v>
      </c>
      <c r="L446" s="2">
        <f>HLOOKUP(F446,Fee_lookup!$A$2:$E$3,2,FALSE)</f>
        <v>0.01</v>
      </c>
      <c r="M446" s="6">
        <f t="shared" si="18"/>
        <v>46042</v>
      </c>
      <c r="N446">
        <f t="shared" si="19"/>
        <v>4999</v>
      </c>
      <c r="O446" t="str">
        <f t="shared" si="20"/>
        <v>Normal Merchant Day</v>
      </c>
    </row>
    <row r="447" spans="1:15" x14ac:dyDescent="0.3">
      <c r="A447" t="s">
        <v>514</v>
      </c>
      <c r="B447">
        <v>287</v>
      </c>
      <c r="C447">
        <v>14</v>
      </c>
      <c r="D447" s="1">
        <v>46041.987500000003</v>
      </c>
      <c r="E447">
        <v>99</v>
      </c>
      <c r="F447" t="s">
        <v>63</v>
      </c>
      <c r="G447" t="s">
        <v>64</v>
      </c>
      <c r="H447">
        <v>61</v>
      </c>
      <c r="I447" t="str">
        <f>IFERROR(VLOOKUP(C447,Merchants!$A$2:$D$41,2,FALSE),"Merchant not found")</f>
        <v>Merchant_014</v>
      </c>
      <c r="J447" t="str">
        <f>IFERROR(VLOOKUP(C447,Merchants!$A$2:$D$41,3,FALSE),"Merchant not found")</f>
        <v>grocery</v>
      </c>
      <c r="K447" t="str">
        <f>IFERROR(VLOOKUP(C447,Merchants!$A$2:$D$41,4,FALSE),"Merchant not found")</f>
        <v>East</v>
      </c>
      <c r="L447" s="2">
        <f>HLOOKUP(F447,Fee_lookup!$A$2:$E$3,2,FALSE)</f>
        <v>5.0000000000000001E-4</v>
      </c>
      <c r="M447" s="6">
        <f t="shared" si="18"/>
        <v>46041</v>
      </c>
      <c r="N447">
        <f t="shared" si="19"/>
        <v>99</v>
      </c>
      <c r="O447" t="str">
        <f t="shared" si="20"/>
        <v>Normal Merchant Day</v>
      </c>
    </row>
    <row r="448" spans="1:15" x14ac:dyDescent="0.3">
      <c r="A448" t="s">
        <v>515</v>
      </c>
      <c r="B448">
        <v>8</v>
      </c>
      <c r="C448">
        <v>14</v>
      </c>
      <c r="D448" s="1">
        <v>46029.429861111108</v>
      </c>
      <c r="E448">
        <v>49</v>
      </c>
      <c r="F448" t="s">
        <v>66</v>
      </c>
      <c r="G448" t="s">
        <v>64</v>
      </c>
      <c r="H448">
        <v>24</v>
      </c>
      <c r="I448" t="str">
        <f>IFERROR(VLOOKUP(C448,Merchants!$A$2:$D$41,2,FALSE),"Merchant not found")</f>
        <v>Merchant_014</v>
      </c>
      <c r="J448" t="str">
        <f>IFERROR(VLOOKUP(C448,Merchants!$A$2:$D$41,3,FALSE),"Merchant not found")</f>
        <v>grocery</v>
      </c>
      <c r="K448" t="str">
        <f>IFERROR(VLOOKUP(C448,Merchants!$A$2:$D$41,4,FALSE),"Merchant not found")</f>
        <v>East</v>
      </c>
      <c r="L448" s="2">
        <f>HLOOKUP(F448,Fee_lookup!$A$2:$E$3,2,FALSE)</f>
        <v>2.0000000000000001E-4</v>
      </c>
      <c r="M448" s="6">
        <f t="shared" si="18"/>
        <v>46029</v>
      </c>
      <c r="N448">
        <f t="shared" si="19"/>
        <v>49</v>
      </c>
      <c r="O448" t="str">
        <f t="shared" si="20"/>
        <v>Normal Merchant Day</v>
      </c>
    </row>
    <row r="449" spans="1:15" x14ac:dyDescent="0.3">
      <c r="A449" t="s">
        <v>516</v>
      </c>
      <c r="B449">
        <v>246</v>
      </c>
      <c r="C449">
        <v>16</v>
      </c>
      <c r="D449" s="1">
        <v>46046.157638888886</v>
      </c>
      <c r="E449">
        <v>1499</v>
      </c>
      <c r="F449" t="s">
        <v>63</v>
      </c>
      <c r="G449" t="s">
        <v>64</v>
      </c>
      <c r="H449">
        <v>89</v>
      </c>
      <c r="I449" t="str">
        <f>IFERROR(VLOOKUP(C449,Merchants!$A$2:$D$41,2,FALSE),"Merchant not found")</f>
        <v>Merchant_016</v>
      </c>
      <c r="J449" t="str">
        <f>IFERROR(VLOOKUP(C449,Merchants!$A$2:$D$41,3,FALSE),"Merchant not found")</f>
        <v>bill_payment</v>
      </c>
      <c r="K449" t="str">
        <f>IFERROR(VLOOKUP(C449,Merchants!$A$2:$D$41,4,FALSE),"Merchant not found")</f>
        <v>West</v>
      </c>
      <c r="L449" s="2">
        <f>HLOOKUP(F449,Fee_lookup!$A$2:$E$3,2,FALSE)</f>
        <v>5.0000000000000001E-4</v>
      </c>
      <c r="M449" s="6">
        <f t="shared" si="18"/>
        <v>46046</v>
      </c>
      <c r="N449">
        <f t="shared" si="19"/>
        <v>1548</v>
      </c>
      <c r="O449" t="str">
        <f t="shared" si="20"/>
        <v>Normal Merchant Day</v>
      </c>
    </row>
    <row r="450" spans="1:15" x14ac:dyDescent="0.3">
      <c r="A450" t="s">
        <v>517</v>
      </c>
      <c r="B450">
        <v>204</v>
      </c>
      <c r="C450">
        <v>16</v>
      </c>
      <c r="D450" s="1">
        <v>46042.925694444442</v>
      </c>
      <c r="E450">
        <v>149</v>
      </c>
      <c r="F450" t="s">
        <v>66</v>
      </c>
      <c r="G450" t="s">
        <v>64</v>
      </c>
      <c r="H450">
        <v>70</v>
      </c>
      <c r="I450" t="str">
        <f>IFERROR(VLOOKUP(C450,Merchants!$A$2:$D$41,2,FALSE),"Merchant not found")</f>
        <v>Merchant_016</v>
      </c>
      <c r="J450" t="str">
        <f>IFERROR(VLOOKUP(C450,Merchants!$A$2:$D$41,3,FALSE),"Merchant not found")</f>
        <v>bill_payment</v>
      </c>
      <c r="K450" t="str">
        <f>IFERROR(VLOOKUP(C450,Merchants!$A$2:$D$41,4,FALSE),"Merchant not found")</f>
        <v>West</v>
      </c>
      <c r="L450" s="2">
        <f>HLOOKUP(F450,Fee_lookup!$A$2:$E$3,2,FALSE)</f>
        <v>2.0000000000000001E-4</v>
      </c>
      <c r="M450" s="6">
        <f t="shared" si="18"/>
        <v>46042</v>
      </c>
      <c r="N450">
        <f t="shared" si="19"/>
        <v>448</v>
      </c>
      <c r="O450" t="str">
        <f t="shared" si="20"/>
        <v>Normal Merchant Day</v>
      </c>
    </row>
    <row r="451" spans="1:15" x14ac:dyDescent="0.3">
      <c r="A451" t="s">
        <v>518</v>
      </c>
      <c r="B451">
        <v>239</v>
      </c>
      <c r="C451">
        <v>35</v>
      </c>
      <c r="D451" s="1">
        <v>46033.39166666667</v>
      </c>
      <c r="E451">
        <v>4999</v>
      </c>
      <c r="F451" t="s">
        <v>66</v>
      </c>
      <c r="G451" t="s">
        <v>64</v>
      </c>
      <c r="H451">
        <v>83</v>
      </c>
      <c r="I451" t="str">
        <f>IFERROR(VLOOKUP(C451,Merchants!$A$2:$D$41,2,FALSE),"Merchant not found")</f>
        <v>Merchant_035</v>
      </c>
      <c r="J451" t="str">
        <f>IFERROR(VLOOKUP(C451,Merchants!$A$2:$D$41,3,FALSE),"Merchant not found")</f>
        <v>recharge</v>
      </c>
      <c r="K451" t="str">
        <f>IFERROR(VLOOKUP(C451,Merchants!$A$2:$D$41,4,FALSE),"Merchant not found")</f>
        <v>East</v>
      </c>
      <c r="L451" s="2">
        <f>HLOOKUP(F451,Fee_lookup!$A$2:$E$3,2,FALSE)</f>
        <v>2.0000000000000001E-4</v>
      </c>
      <c r="M451" s="6">
        <f t="shared" ref="M451:M514" si="21">INT(D451)</f>
        <v>46033</v>
      </c>
      <c r="N451">
        <f t="shared" ref="N451:N514" si="22">SUMIFS($E:$E,$C:$C,C451,$M:$M,M451)</f>
        <v>4999</v>
      </c>
      <c r="O451" t="str">
        <f t="shared" ref="O451:O514" si="23">IF(AND(N451&gt;5000,K451&lt;&gt;"East"),"High-Value Merchant Day","Normal Merchant Day")</f>
        <v>Normal Merchant Day</v>
      </c>
    </row>
    <row r="452" spans="1:15" x14ac:dyDescent="0.3">
      <c r="A452" t="s">
        <v>519</v>
      </c>
      <c r="B452">
        <v>185</v>
      </c>
      <c r="C452">
        <v>33</v>
      </c>
      <c r="D452" s="1">
        <v>46034.386111111111</v>
      </c>
      <c r="E452">
        <v>299</v>
      </c>
      <c r="F452" t="s">
        <v>66</v>
      </c>
      <c r="G452" t="s">
        <v>64</v>
      </c>
      <c r="H452">
        <v>63</v>
      </c>
      <c r="I452" t="str">
        <f>IFERROR(VLOOKUP(C452,Merchants!$A$2:$D$41,2,FALSE),"Merchant not found")</f>
        <v>Merchant_033</v>
      </c>
      <c r="J452" t="str">
        <f>IFERROR(VLOOKUP(C452,Merchants!$A$2:$D$41,3,FALSE),"Merchant not found")</f>
        <v>bill_payment</v>
      </c>
      <c r="K452" t="str">
        <f>IFERROR(VLOOKUP(C452,Merchants!$A$2:$D$41,4,FALSE),"Merchant not found")</f>
        <v>East</v>
      </c>
      <c r="L452" s="2">
        <f>HLOOKUP(F452,Fee_lookup!$A$2:$E$3,2,FALSE)</f>
        <v>2.0000000000000001E-4</v>
      </c>
      <c r="M452" s="6">
        <f t="shared" si="21"/>
        <v>46034</v>
      </c>
      <c r="N452">
        <f t="shared" si="22"/>
        <v>299</v>
      </c>
      <c r="O452" t="str">
        <f t="shared" si="23"/>
        <v>Normal Merchant Day</v>
      </c>
    </row>
    <row r="453" spans="1:15" x14ac:dyDescent="0.3">
      <c r="A453" t="s">
        <v>520</v>
      </c>
      <c r="B453">
        <v>241</v>
      </c>
      <c r="C453">
        <v>21</v>
      </c>
      <c r="D453" s="1">
        <v>46037.160416666666</v>
      </c>
      <c r="E453">
        <v>299</v>
      </c>
      <c r="F453" t="s">
        <v>78</v>
      </c>
      <c r="G453" t="s">
        <v>64</v>
      </c>
      <c r="H453">
        <v>26</v>
      </c>
      <c r="I453" t="str">
        <f>IFERROR(VLOOKUP(C453,Merchants!$A$2:$D$41,2,FALSE),"Merchant not found")</f>
        <v>Merchant_021</v>
      </c>
      <c r="J453" t="str">
        <f>IFERROR(VLOOKUP(C453,Merchants!$A$2:$D$41,3,FALSE),"Merchant not found")</f>
        <v>food_delivery</v>
      </c>
      <c r="K453" t="str">
        <f>IFERROR(VLOOKUP(C453,Merchants!$A$2:$D$41,4,FALSE),"Merchant not found")</f>
        <v>East</v>
      </c>
      <c r="L453" s="2">
        <f>HLOOKUP(F453,Fee_lookup!$A$2:$E$3,2,FALSE)</f>
        <v>1.4999999999999999E-2</v>
      </c>
      <c r="M453" s="6">
        <f t="shared" si="21"/>
        <v>46037</v>
      </c>
      <c r="N453">
        <f t="shared" si="22"/>
        <v>299</v>
      </c>
      <c r="O453" t="str">
        <f t="shared" si="23"/>
        <v>Normal Merchant Day</v>
      </c>
    </row>
    <row r="454" spans="1:15" x14ac:dyDescent="0.3">
      <c r="A454" t="s">
        <v>521</v>
      </c>
      <c r="B454">
        <v>24</v>
      </c>
      <c r="C454">
        <v>37</v>
      </c>
      <c r="D454" s="1">
        <v>46034.43472222222</v>
      </c>
      <c r="E454">
        <v>149</v>
      </c>
      <c r="F454" t="s">
        <v>66</v>
      </c>
      <c r="G454" t="s">
        <v>64</v>
      </c>
      <c r="H454">
        <v>28</v>
      </c>
      <c r="I454" t="str">
        <f>IFERROR(VLOOKUP(C454,Merchants!$A$2:$D$41,2,FALSE),"Merchant not found")</f>
        <v>Merchant_037</v>
      </c>
      <c r="J454" t="str">
        <f>IFERROR(VLOOKUP(C454,Merchants!$A$2:$D$41,3,FALSE),"Merchant not found")</f>
        <v>entertainment</v>
      </c>
      <c r="K454" t="str">
        <f>IFERROR(VLOOKUP(C454,Merchants!$A$2:$D$41,4,FALSE),"Merchant not found")</f>
        <v>South</v>
      </c>
      <c r="L454" s="2">
        <f>HLOOKUP(F454,Fee_lookup!$A$2:$E$3,2,FALSE)</f>
        <v>2.0000000000000001E-4</v>
      </c>
      <c r="M454" s="6">
        <f t="shared" si="21"/>
        <v>46034</v>
      </c>
      <c r="N454">
        <f t="shared" si="22"/>
        <v>149</v>
      </c>
      <c r="O454" t="str">
        <f t="shared" si="23"/>
        <v>Normal Merchant Day</v>
      </c>
    </row>
    <row r="455" spans="1:15" x14ac:dyDescent="0.3">
      <c r="A455" t="s">
        <v>522</v>
      </c>
      <c r="B455">
        <v>134</v>
      </c>
      <c r="C455">
        <v>36</v>
      </c>
      <c r="D455" s="1">
        <v>46046.167361111111</v>
      </c>
      <c r="E455">
        <v>1499</v>
      </c>
      <c r="F455" t="s">
        <v>66</v>
      </c>
      <c r="G455" t="s">
        <v>64</v>
      </c>
      <c r="H455">
        <v>74</v>
      </c>
      <c r="I455" t="str">
        <f>IFERROR(VLOOKUP(C455,Merchants!$A$2:$D$41,2,FALSE),"Merchant not found")</f>
        <v>Merchant_036</v>
      </c>
      <c r="J455" t="str">
        <f>IFERROR(VLOOKUP(C455,Merchants!$A$2:$D$41,3,FALSE),"Merchant not found")</f>
        <v>entertainment</v>
      </c>
      <c r="K455" t="str">
        <f>IFERROR(VLOOKUP(C455,Merchants!$A$2:$D$41,4,FALSE),"Merchant not found")</f>
        <v>East</v>
      </c>
      <c r="L455" s="2">
        <f>HLOOKUP(F455,Fee_lookup!$A$2:$E$3,2,FALSE)</f>
        <v>2.0000000000000001E-4</v>
      </c>
      <c r="M455" s="6">
        <f t="shared" si="21"/>
        <v>46046</v>
      </c>
      <c r="N455">
        <f t="shared" si="22"/>
        <v>1647</v>
      </c>
      <c r="O455" t="str">
        <f t="shared" si="23"/>
        <v>Normal Merchant Day</v>
      </c>
    </row>
    <row r="456" spans="1:15" x14ac:dyDescent="0.3">
      <c r="A456" t="s">
        <v>523</v>
      </c>
      <c r="B456">
        <v>152</v>
      </c>
      <c r="C456">
        <v>10</v>
      </c>
      <c r="D456" s="1">
        <v>46041.976388888892</v>
      </c>
      <c r="E456">
        <v>499</v>
      </c>
      <c r="F456" t="s">
        <v>63</v>
      </c>
      <c r="G456" t="s">
        <v>64</v>
      </c>
      <c r="H456">
        <v>25</v>
      </c>
      <c r="I456" t="str">
        <f>IFERROR(VLOOKUP(C456,Merchants!$A$2:$D$41,2,FALSE),"Merchant not found")</f>
        <v>Merchant_010</v>
      </c>
      <c r="J456" t="str">
        <f>IFERROR(VLOOKUP(C456,Merchants!$A$2:$D$41,3,FALSE),"Merchant not found")</f>
        <v>grocery</v>
      </c>
      <c r="K456" t="str">
        <f>IFERROR(VLOOKUP(C456,Merchants!$A$2:$D$41,4,FALSE),"Merchant not found")</f>
        <v>West</v>
      </c>
      <c r="L456" s="2">
        <f>HLOOKUP(F456,Fee_lookup!$A$2:$E$3,2,FALSE)</f>
        <v>5.0000000000000001E-4</v>
      </c>
      <c r="M456" s="6">
        <f t="shared" si="21"/>
        <v>46041</v>
      </c>
      <c r="N456">
        <f t="shared" si="22"/>
        <v>499</v>
      </c>
      <c r="O456" t="str">
        <f t="shared" si="23"/>
        <v>Normal Merchant Day</v>
      </c>
    </row>
    <row r="457" spans="1:15" x14ac:dyDescent="0.3">
      <c r="A457" t="s">
        <v>524</v>
      </c>
      <c r="B457">
        <v>292</v>
      </c>
      <c r="C457">
        <v>16</v>
      </c>
      <c r="D457" s="1">
        <v>46033.308333333334</v>
      </c>
      <c r="E457">
        <v>499</v>
      </c>
      <c r="F457" t="s">
        <v>69</v>
      </c>
      <c r="G457" t="s">
        <v>64</v>
      </c>
      <c r="H457">
        <v>63</v>
      </c>
      <c r="I457" t="str">
        <f>IFERROR(VLOOKUP(C457,Merchants!$A$2:$D$41,2,FALSE),"Merchant not found")</f>
        <v>Merchant_016</v>
      </c>
      <c r="J457" t="str">
        <f>IFERROR(VLOOKUP(C457,Merchants!$A$2:$D$41,3,FALSE),"Merchant not found")</f>
        <v>bill_payment</v>
      </c>
      <c r="K457" t="str">
        <f>IFERROR(VLOOKUP(C457,Merchants!$A$2:$D$41,4,FALSE),"Merchant not found")</f>
        <v>West</v>
      </c>
      <c r="L457" s="2">
        <f>HLOOKUP(F457,Fee_lookup!$A$2:$E$3,2,FALSE)</f>
        <v>0.01</v>
      </c>
      <c r="M457" s="6">
        <f t="shared" si="21"/>
        <v>46033</v>
      </c>
      <c r="N457">
        <f t="shared" si="22"/>
        <v>499</v>
      </c>
      <c r="O457" t="str">
        <f t="shared" si="23"/>
        <v>Normal Merchant Day</v>
      </c>
    </row>
    <row r="458" spans="1:15" x14ac:dyDescent="0.3">
      <c r="A458" t="s">
        <v>525</v>
      </c>
      <c r="B458">
        <v>173</v>
      </c>
      <c r="C458">
        <v>17</v>
      </c>
      <c r="D458" s="1">
        <v>46040.863194444442</v>
      </c>
      <c r="E458">
        <v>99</v>
      </c>
      <c r="F458" t="s">
        <v>69</v>
      </c>
      <c r="G458" t="s">
        <v>64</v>
      </c>
      <c r="H458">
        <v>97</v>
      </c>
      <c r="I458" t="str">
        <f>IFERROR(VLOOKUP(C458,Merchants!$A$2:$D$41,2,FALSE),"Merchant not found")</f>
        <v>Merchant_017</v>
      </c>
      <c r="J458" t="str">
        <f>IFERROR(VLOOKUP(C458,Merchants!$A$2:$D$41,3,FALSE),"Merchant not found")</f>
        <v>grocery</v>
      </c>
      <c r="K458" t="str">
        <f>IFERROR(VLOOKUP(C458,Merchants!$A$2:$D$41,4,FALSE),"Merchant not found")</f>
        <v>North</v>
      </c>
      <c r="L458" s="2">
        <f>HLOOKUP(F458,Fee_lookup!$A$2:$E$3,2,FALSE)</f>
        <v>0.01</v>
      </c>
      <c r="M458" s="6">
        <f t="shared" si="21"/>
        <v>46040</v>
      </c>
      <c r="N458">
        <f t="shared" si="22"/>
        <v>198</v>
      </c>
      <c r="O458" t="str">
        <f t="shared" si="23"/>
        <v>Normal Merchant Day</v>
      </c>
    </row>
    <row r="459" spans="1:15" x14ac:dyDescent="0.3">
      <c r="A459" t="s">
        <v>526</v>
      </c>
      <c r="B459">
        <v>329</v>
      </c>
      <c r="C459">
        <v>32</v>
      </c>
      <c r="D459" s="1">
        <v>46049.656944444447</v>
      </c>
      <c r="E459">
        <v>1499</v>
      </c>
      <c r="F459" t="s">
        <v>66</v>
      </c>
      <c r="G459" t="s">
        <v>64</v>
      </c>
      <c r="H459">
        <v>58</v>
      </c>
      <c r="I459" t="str">
        <f>IFERROR(VLOOKUP(C459,Merchants!$A$2:$D$41,2,FALSE),"Merchant not found")</f>
        <v>Merchant_032</v>
      </c>
      <c r="J459" t="str">
        <f>IFERROR(VLOOKUP(C459,Merchants!$A$2:$D$41,3,FALSE),"Merchant not found")</f>
        <v>food_delivery</v>
      </c>
      <c r="K459" t="str">
        <f>IFERROR(VLOOKUP(C459,Merchants!$A$2:$D$41,4,FALSE),"Merchant not found")</f>
        <v>West</v>
      </c>
      <c r="L459" s="2">
        <f>HLOOKUP(F459,Fee_lookup!$A$2:$E$3,2,FALSE)</f>
        <v>2.0000000000000001E-4</v>
      </c>
      <c r="M459" s="6">
        <f t="shared" si="21"/>
        <v>46049</v>
      </c>
      <c r="N459">
        <f t="shared" si="22"/>
        <v>1499</v>
      </c>
      <c r="O459" t="str">
        <f t="shared" si="23"/>
        <v>Normal Merchant Day</v>
      </c>
    </row>
    <row r="460" spans="1:15" x14ac:dyDescent="0.3">
      <c r="A460" t="s">
        <v>527</v>
      </c>
      <c r="B460">
        <v>181</v>
      </c>
      <c r="C460">
        <v>11</v>
      </c>
      <c r="D460" s="1">
        <v>46028.993055555555</v>
      </c>
      <c r="E460">
        <v>1499</v>
      </c>
      <c r="F460" t="s">
        <v>66</v>
      </c>
      <c r="G460" t="s">
        <v>64</v>
      </c>
      <c r="H460">
        <v>17</v>
      </c>
      <c r="I460" t="str">
        <f>IFERROR(VLOOKUP(C460,Merchants!$A$2:$D$41,2,FALSE),"Merchant not found")</f>
        <v>Merchant_011</v>
      </c>
      <c r="J460" t="str">
        <f>IFERROR(VLOOKUP(C460,Merchants!$A$2:$D$41,3,FALSE),"Merchant not found")</f>
        <v>ecommerce</v>
      </c>
      <c r="K460" t="str">
        <f>IFERROR(VLOOKUP(C460,Merchants!$A$2:$D$41,4,FALSE),"Merchant not found")</f>
        <v>North</v>
      </c>
      <c r="L460" s="2">
        <f>HLOOKUP(F460,Fee_lookup!$A$2:$E$3,2,FALSE)</f>
        <v>2.0000000000000001E-4</v>
      </c>
      <c r="M460" s="6">
        <f t="shared" si="21"/>
        <v>46028</v>
      </c>
      <c r="N460">
        <f t="shared" si="22"/>
        <v>1499</v>
      </c>
      <c r="O460" t="str">
        <f t="shared" si="23"/>
        <v>Normal Merchant Day</v>
      </c>
    </row>
    <row r="461" spans="1:15" x14ac:dyDescent="0.3">
      <c r="A461" t="s">
        <v>528</v>
      </c>
      <c r="B461">
        <v>95</v>
      </c>
      <c r="C461">
        <v>35</v>
      </c>
      <c r="D461" s="1">
        <v>46046.729861111111</v>
      </c>
      <c r="E461">
        <v>149</v>
      </c>
      <c r="F461" t="s">
        <v>63</v>
      </c>
      <c r="G461" t="s">
        <v>64</v>
      </c>
      <c r="H461">
        <v>82</v>
      </c>
      <c r="I461" t="str">
        <f>IFERROR(VLOOKUP(C461,Merchants!$A$2:$D$41,2,FALSE),"Merchant not found")</f>
        <v>Merchant_035</v>
      </c>
      <c r="J461" t="str">
        <f>IFERROR(VLOOKUP(C461,Merchants!$A$2:$D$41,3,FALSE),"Merchant not found")</f>
        <v>recharge</v>
      </c>
      <c r="K461" t="str">
        <f>IFERROR(VLOOKUP(C461,Merchants!$A$2:$D$41,4,FALSE),"Merchant not found")</f>
        <v>East</v>
      </c>
      <c r="L461" s="2">
        <f>HLOOKUP(F461,Fee_lookup!$A$2:$E$3,2,FALSE)</f>
        <v>5.0000000000000001E-4</v>
      </c>
      <c r="M461" s="6">
        <f t="shared" si="21"/>
        <v>46046</v>
      </c>
      <c r="N461">
        <f t="shared" si="22"/>
        <v>149</v>
      </c>
      <c r="O461" t="str">
        <f t="shared" si="23"/>
        <v>Normal Merchant Day</v>
      </c>
    </row>
    <row r="462" spans="1:15" x14ac:dyDescent="0.3">
      <c r="A462" t="s">
        <v>529</v>
      </c>
      <c r="B462">
        <v>39</v>
      </c>
      <c r="C462">
        <v>4</v>
      </c>
      <c r="D462" s="1">
        <v>46024.668055555558</v>
      </c>
      <c r="E462">
        <v>149</v>
      </c>
      <c r="F462" t="s">
        <v>69</v>
      </c>
      <c r="G462" t="s">
        <v>64</v>
      </c>
      <c r="H462">
        <v>97</v>
      </c>
      <c r="I462" t="str">
        <f>IFERROR(VLOOKUP(C462,Merchants!$A$2:$D$41,2,FALSE),"Merchant not found")</f>
        <v>Merchant_004</v>
      </c>
      <c r="J462" t="str">
        <f>IFERROR(VLOOKUP(C462,Merchants!$A$2:$D$41,3,FALSE),"Merchant not found")</f>
        <v>ecommerce</v>
      </c>
      <c r="K462" t="str">
        <f>IFERROR(VLOOKUP(C462,Merchants!$A$2:$D$41,4,FALSE),"Merchant not found")</f>
        <v>East</v>
      </c>
      <c r="L462" s="2">
        <f>HLOOKUP(F462,Fee_lookup!$A$2:$E$3,2,FALSE)</f>
        <v>0.01</v>
      </c>
      <c r="M462" s="6">
        <f t="shared" si="21"/>
        <v>46024</v>
      </c>
      <c r="N462">
        <f t="shared" si="22"/>
        <v>149</v>
      </c>
      <c r="O462" t="str">
        <f t="shared" si="23"/>
        <v>Normal Merchant Day</v>
      </c>
    </row>
    <row r="463" spans="1:15" x14ac:dyDescent="0.3">
      <c r="A463" t="s">
        <v>530</v>
      </c>
      <c r="B463">
        <v>323</v>
      </c>
      <c r="C463">
        <v>15</v>
      </c>
      <c r="D463" s="1">
        <v>46023.547222222223</v>
      </c>
      <c r="E463">
        <v>499</v>
      </c>
      <c r="F463" t="s">
        <v>66</v>
      </c>
      <c r="G463" t="s">
        <v>64</v>
      </c>
      <c r="H463">
        <v>8</v>
      </c>
      <c r="I463" t="str">
        <f>IFERROR(VLOOKUP(C463,Merchants!$A$2:$D$41,2,FALSE),"Merchant not found")</f>
        <v>Merchant_015</v>
      </c>
      <c r="J463" t="str">
        <f>IFERROR(VLOOKUP(C463,Merchants!$A$2:$D$41,3,FALSE),"Merchant not found")</f>
        <v>travel</v>
      </c>
      <c r="K463" t="str">
        <f>IFERROR(VLOOKUP(C463,Merchants!$A$2:$D$41,4,FALSE),"Merchant not found")</f>
        <v>North</v>
      </c>
      <c r="L463" s="2">
        <f>HLOOKUP(F463,Fee_lookup!$A$2:$E$3,2,FALSE)</f>
        <v>2.0000000000000001E-4</v>
      </c>
      <c r="M463" s="6">
        <f t="shared" si="21"/>
        <v>46023</v>
      </c>
      <c r="N463">
        <f t="shared" si="22"/>
        <v>499</v>
      </c>
      <c r="O463" t="str">
        <f t="shared" si="23"/>
        <v>Normal Merchant Day</v>
      </c>
    </row>
    <row r="464" spans="1:15" x14ac:dyDescent="0.3">
      <c r="A464" t="s">
        <v>531</v>
      </c>
      <c r="B464">
        <v>112</v>
      </c>
      <c r="C464">
        <v>33</v>
      </c>
      <c r="D464" s="1">
        <v>46045.166666666664</v>
      </c>
      <c r="E464">
        <v>49</v>
      </c>
      <c r="F464" t="s">
        <v>69</v>
      </c>
      <c r="G464" t="s">
        <v>64</v>
      </c>
      <c r="H464">
        <v>58</v>
      </c>
      <c r="I464" t="str">
        <f>IFERROR(VLOOKUP(C464,Merchants!$A$2:$D$41,2,FALSE),"Merchant not found")</f>
        <v>Merchant_033</v>
      </c>
      <c r="J464" t="str">
        <f>IFERROR(VLOOKUP(C464,Merchants!$A$2:$D$41,3,FALSE),"Merchant not found")</f>
        <v>bill_payment</v>
      </c>
      <c r="K464" t="str">
        <f>IFERROR(VLOOKUP(C464,Merchants!$A$2:$D$41,4,FALSE),"Merchant not found")</f>
        <v>East</v>
      </c>
      <c r="L464" s="2">
        <f>HLOOKUP(F464,Fee_lookup!$A$2:$E$3,2,FALSE)</f>
        <v>0.01</v>
      </c>
      <c r="M464" s="6">
        <f t="shared" si="21"/>
        <v>46045</v>
      </c>
      <c r="N464">
        <f t="shared" si="22"/>
        <v>49</v>
      </c>
      <c r="O464" t="str">
        <f t="shared" si="23"/>
        <v>Normal Merchant Day</v>
      </c>
    </row>
    <row r="465" spans="1:15" x14ac:dyDescent="0.3">
      <c r="A465" t="s">
        <v>532</v>
      </c>
      <c r="B465">
        <v>327</v>
      </c>
      <c r="C465">
        <v>40</v>
      </c>
      <c r="D465" s="1">
        <v>46034.068749999999</v>
      </c>
      <c r="E465">
        <v>99</v>
      </c>
      <c r="F465" t="s">
        <v>66</v>
      </c>
      <c r="G465" t="s">
        <v>64</v>
      </c>
      <c r="H465">
        <v>61</v>
      </c>
      <c r="I465" t="str">
        <f>IFERROR(VLOOKUP(C465,Merchants!$A$2:$D$41,2,FALSE),"Merchant not found")</f>
        <v>Merchant_040</v>
      </c>
      <c r="J465" t="str">
        <f>IFERROR(VLOOKUP(C465,Merchants!$A$2:$D$41,3,FALSE),"Merchant not found")</f>
        <v>entertainment</v>
      </c>
      <c r="K465" t="str">
        <f>IFERROR(VLOOKUP(C465,Merchants!$A$2:$D$41,4,FALSE),"Merchant not found")</f>
        <v>South</v>
      </c>
      <c r="L465" s="2">
        <f>HLOOKUP(F465,Fee_lookup!$A$2:$E$3,2,FALSE)</f>
        <v>2.0000000000000001E-4</v>
      </c>
      <c r="M465" s="6">
        <f t="shared" si="21"/>
        <v>46034</v>
      </c>
      <c r="N465">
        <f t="shared" si="22"/>
        <v>99</v>
      </c>
      <c r="O465" t="str">
        <f t="shared" si="23"/>
        <v>Normal Merchant Day</v>
      </c>
    </row>
    <row r="466" spans="1:15" x14ac:dyDescent="0.3">
      <c r="A466" t="s">
        <v>533</v>
      </c>
      <c r="B466">
        <v>4</v>
      </c>
      <c r="C466">
        <v>35</v>
      </c>
      <c r="D466" s="1">
        <v>46044.625694444447</v>
      </c>
      <c r="E466">
        <v>299</v>
      </c>
      <c r="F466" t="s">
        <v>66</v>
      </c>
      <c r="G466" t="s">
        <v>64</v>
      </c>
      <c r="H466">
        <v>70</v>
      </c>
      <c r="I466" t="str">
        <f>IFERROR(VLOOKUP(C466,Merchants!$A$2:$D$41,2,FALSE),"Merchant not found")</f>
        <v>Merchant_035</v>
      </c>
      <c r="J466" t="str">
        <f>IFERROR(VLOOKUP(C466,Merchants!$A$2:$D$41,3,FALSE),"Merchant not found")</f>
        <v>recharge</v>
      </c>
      <c r="K466" t="str">
        <f>IFERROR(VLOOKUP(C466,Merchants!$A$2:$D$41,4,FALSE),"Merchant not found")</f>
        <v>East</v>
      </c>
      <c r="L466" s="2">
        <f>HLOOKUP(F466,Fee_lookup!$A$2:$E$3,2,FALSE)</f>
        <v>2.0000000000000001E-4</v>
      </c>
      <c r="M466" s="6">
        <f t="shared" si="21"/>
        <v>46044</v>
      </c>
      <c r="N466">
        <f t="shared" si="22"/>
        <v>299</v>
      </c>
      <c r="O466" t="str">
        <f t="shared" si="23"/>
        <v>Normal Merchant Day</v>
      </c>
    </row>
    <row r="467" spans="1:15" x14ac:dyDescent="0.3">
      <c r="A467" t="s">
        <v>534</v>
      </c>
      <c r="B467">
        <v>272</v>
      </c>
      <c r="C467">
        <v>18</v>
      </c>
      <c r="D467" s="1">
        <v>46036.000694444447</v>
      </c>
      <c r="E467">
        <v>149</v>
      </c>
      <c r="F467" t="s">
        <v>66</v>
      </c>
      <c r="G467" t="s">
        <v>64</v>
      </c>
      <c r="H467">
        <v>68</v>
      </c>
      <c r="I467" t="str">
        <f>IFERROR(VLOOKUP(C467,Merchants!$A$2:$D$41,2,FALSE),"Merchant not found")</f>
        <v>Merchant_018</v>
      </c>
      <c r="J467" t="str">
        <f>IFERROR(VLOOKUP(C467,Merchants!$A$2:$D$41,3,FALSE),"Merchant not found")</f>
        <v>grocery</v>
      </c>
      <c r="K467" t="str">
        <f>IFERROR(VLOOKUP(C467,Merchants!$A$2:$D$41,4,FALSE),"Merchant not found")</f>
        <v>West</v>
      </c>
      <c r="L467" s="2">
        <f>HLOOKUP(F467,Fee_lookup!$A$2:$E$3,2,FALSE)</f>
        <v>2.0000000000000001E-4</v>
      </c>
      <c r="M467" s="6">
        <f t="shared" si="21"/>
        <v>46036</v>
      </c>
      <c r="N467">
        <f t="shared" si="22"/>
        <v>149</v>
      </c>
      <c r="O467" t="str">
        <f t="shared" si="23"/>
        <v>Normal Merchant Day</v>
      </c>
    </row>
    <row r="468" spans="1:15" x14ac:dyDescent="0.3">
      <c r="A468" t="s">
        <v>535</v>
      </c>
      <c r="B468">
        <v>346</v>
      </c>
      <c r="C468">
        <v>28</v>
      </c>
      <c r="D468" s="1">
        <v>46032.022222222222</v>
      </c>
      <c r="E468">
        <v>499</v>
      </c>
      <c r="F468" t="s">
        <v>66</v>
      </c>
      <c r="G468" t="s">
        <v>64</v>
      </c>
      <c r="H468">
        <v>22</v>
      </c>
      <c r="I468" t="str">
        <f>IFERROR(VLOOKUP(C468,Merchants!$A$2:$D$41,2,FALSE),"Merchant not found")</f>
        <v>Merchant_028</v>
      </c>
      <c r="J468" t="str">
        <f>IFERROR(VLOOKUP(C468,Merchants!$A$2:$D$41,3,FALSE),"Merchant not found")</f>
        <v>ecommerce</v>
      </c>
      <c r="K468" t="str">
        <f>IFERROR(VLOOKUP(C468,Merchants!$A$2:$D$41,4,FALSE),"Merchant not found")</f>
        <v>South</v>
      </c>
      <c r="L468" s="2">
        <f>HLOOKUP(F468,Fee_lookup!$A$2:$E$3,2,FALSE)</f>
        <v>2.0000000000000001E-4</v>
      </c>
      <c r="M468" s="6">
        <f t="shared" si="21"/>
        <v>46032</v>
      </c>
      <c r="N468">
        <f t="shared" si="22"/>
        <v>499</v>
      </c>
      <c r="O468" t="str">
        <f t="shared" si="23"/>
        <v>Normal Merchant Day</v>
      </c>
    </row>
    <row r="469" spans="1:15" x14ac:dyDescent="0.3">
      <c r="A469" t="s">
        <v>536</v>
      </c>
      <c r="B469">
        <v>77</v>
      </c>
      <c r="C469">
        <v>16</v>
      </c>
      <c r="D469" s="1">
        <v>46026.147916666669</v>
      </c>
      <c r="E469">
        <v>49</v>
      </c>
      <c r="F469" t="s">
        <v>63</v>
      </c>
      <c r="G469" t="s">
        <v>64</v>
      </c>
      <c r="H469">
        <v>24</v>
      </c>
      <c r="I469" t="str">
        <f>IFERROR(VLOOKUP(C469,Merchants!$A$2:$D$41,2,FALSE),"Merchant not found")</f>
        <v>Merchant_016</v>
      </c>
      <c r="J469" t="str">
        <f>IFERROR(VLOOKUP(C469,Merchants!$A$2:$D$41,3,FALSE),"Merchant not found")</f>
        <v>bill_payment</v>
      </c>
      <c r="K469" t="str">
        <f>IFERROR(VLOOKUP(C469,Merchants!$A$2:$D$41,4,FALSE),"Merchant not found")</f>
        <v>West</v>
      </c>
      <c r="L469" s="2">
        <f>HLOOKUP(F469,Fee_lookup!$A$2:$E$3,2,FALSE)</f>
        <v>5.0000000000000001E-4</v>
      </c>
      <c r="M469" s="6">
        <f t="shared" si="21"/>
        <v>46026</v>
      </c>
      <c r="N469">
        <f t="shared" si="22"/>
        <v>49</v>
      </c>
      <c r="O469" t="str">
        <f t="shared" si="23"/>
        <v>Normal Merchant Day</v>
      </c>
    </row>
    <row r="470" spans="1:15" x14ac:dyDescent="0.3">
      <c r="A470" t="s">
        <v>537</v>
      </c>
      <c r="B470">
        <v>182</v>
      </c>
      <c r="C470">
        <v>18</v>
      </c>
      <c r="D470" s="1">
        <v>46042.677777777775</v>
      </c>
      <c r="E470">
        <v>149</v>
      </c>
      <c r="F470" t="s">
        <v>78</v>
      </c>
      <c r="G470" t="s">
        <v>64</v>
      </c>
      <c r="H470">
        <v>50</v>
      </c>
      <c r="I470" t="str">
        <f>IFERROR(VLOOKUP(C470,Merchants!$A$2:$D$41,2,FALSE),"Merchant not found")</f>
        <v>Merchant_018</v>
      </c>
      <c r="J470" t="str">
        <f>IFERROR(VLOOKUP(C470,Merchants!$A$2:$D$41,3,FALSE),"Merchant not found")</f>
        <v>grocery</v>
      </c>
      <c r="K470" t="str">
        <f>IFERROR(VLOOKUP(C470,Merchants!$A$2:$D$41,4,FALSE),"Merchant not found")</f>
        <v>West</v>
      </c>
      <c r="L470" s="2">
        <f>HLOOKUP(F470,Fee_lookup!$A$2:$E$3,2,FALSE)</f>
        <v>1.4999999999999999E-2</v>
      </c>
      <c r="M470" s="6">
        <f t="shared" si="21"/>
        <v>46042</v>
      </c>
      <c r="N470">
        <f t="shared" si="22"/>
        <v>149</v>
      </c>
      <c r="O470" t="str">
        <f t="shared" si="23"/>
        <v>Normal Merchant Day</v>
      </c>
    </row>
    <row r="471" spans="1:15" x14ac:dyDescent="0.3">
      <c r="A471" t="s">
        <v>538</v>
      </c>
      <c r="B471">
        <v>236</v>
      </c>
      <c r="C471">
        <v>37</v>
      </c>
      <c r="D471" s="1">
        <v>46025.475694444445</v>
      </c>
      <c r="E471">
        <v>299</v>
      </c>
      <c r="F471" t="s">
        <v>78</v>
      </c>
      <c r="G471" t="s">
        <v>64</v>
      </c>
      <c r="H471">
        <v>31</v>
      </c>
      <c r="I471" t="str">
        <f>IFERROR(VLOOKUP(C471,Merchants!$A$2:$D$41,2,FALSE),"Merchant not found")</f>
        <v>Merchant_037</v>
      </c>
      <c r="J471" t="str">
        <f>IFERROR(VLOOKUP(C471,Merchants!$A$2:$D$41,3,FALSE),"Merchant not found")</f>
        <v>entertainment</v>
      </c>
      <c r="K471" t="str">
        <f>IFERROR(VLOOKUP(C471,Merchants!$A$2:$D$41,4,FALSE),"Merchant not found")</f>
        <v>South</v>
      </c>
      <c r="L471" s="2">
        <f>HLOOKUP(F471,Fee_lookup!$A$2:$E$3,2,FALSE)</f>
        <v>1.4999999999999999E-2</v>
      </c>
      <c r="M471" s="6">
        <f t="shared" si="21"/>
        <v>46025</v>
      </c>
      <c r="N471">
        <f t="shared" si="22"/>
        <v>299</v>
      </c>
      <c r="O471" t="str">
        <f t="shared" si="23"/>
        <v>Normal Merchant Day</v>
      </c>
    </row>
    <row r="472" spans="1:15" x14ac:dyDescent="0.3">
      <c r="A472" t="s">
        <v>539</v>
      </c>
      <c r="B472">
        <v>42</v>
      </c>
      <c r="C472">
        <v>3</v>
      </c>
      <c r="D472" s="1">
        <v>46045.304861111108</v>
      </c>
      <c r="E472">
        <v>49</v>
      </c>
      <c r="F472" t="s">
        <v>66</v>
      </c>
      <c r="G472" t="s">
        <v>64</v>
      </c>
      <c r="H472">
        <v>11</v>
      </c>
      <c r="I472" t="str">
        <f>IFERROR(VLOOKUP(C472,Merchants!$A$2:$D$41,2,FALSE),"Merchant not found")</f>
        <v>Merchant_003</v>
      </c>
      <c r="J472" t="str">
        <f>IFERROR(VLOOKUP(C472,Merchants!$A$2:$D$41,3,FALSE),"Merchant not found")</f>
        <v>grocery</v>
      </c>
      <c r="K472" t="str">
        <f>IFERROR(VLOOKUP(C472,Merchants!$A$2:$D$41,4,FALSE),"Merchant not found")</f>
        <v>East</v>
      </c>
      <c r="L472" s="2">
        <f>HLOOKUP(F472,Fee_lookup!$A$2:$E$3,2,FALSE)</f>
        <v>2.0000000000000001E-4</v>
      </c>
      <c r="M472" s="6">
        <f t="shared" si="21"/>
        <v>46045</v>
      </c>
      <c r="N472">
        <f t="shared" si="22"/>
        <v>49</v>
      </c>
      <c r="O472" t="str">
        <f t="shared" si="23"/>
        <v>Normal Merchant Day</v>
      </c>
    </row>
    <row r="473" spans="1:15" x14ac:dyDescent="0.3">
      <c r="A473" t="s">
        <v>540</v>
      </c>
      <c r="B473">
        <v>283</v>
      </c>
      <c r="C473">
        <v>31</v>
      </c>
      <c r="D473" s="1">
        <v>46035.51666666667</v>
      </c>
      <c r="E473">
        <v>299</v>
      </c>
      <c r="F473" t="s">
        <v>69</v>
      </c>
      <c r="G473" t="s">
        <v>64</v>
      </c>
      <c r="H473">
        <v>7</v>
      </c>
      <c r="I473" t="str">
        <f>IFERROR(VLOOKUP(C473,Merchants!$A$2:$D$41,2,FALSE),"Merchant not found")</f>
        <v>Merchant_031</v>
      </c>
      <c r="J473" t="str">
        <f>IFERROR(VLOOKUP(C473,Merchants!$A$2:$D$41,3,FALSE),"Merchant not found")</f>
        <v>bill_payment</v>
      </c>
      <c r="K473" t="str">
        <f>IFERROR(VLOOKUP(C473,Merchants!$A$2:$D$41,4,FALSE),"Merchant not found")</f>
        <v>East</v>
      </c>
      <c r="L473" s="2">
        <f>HLOOKUP(F473,Fee_lookup!$A$2:$E$3,2,FALSE)</f>
        <v>0.01</v>
      </c>
      <c r="M473" s="6">
        <f t="shared" si="21"/>
        <v>46035</v>
      </c>
      <c r="N473">
        <f t="shared" si="22"/>
        <v>299</v>
      </c>
      <c r="O473" t="str">
        <f t="shared" si="23"/>
        <v>Normal Merchant Day</v>
      </c>
    </row>
    <row r="474" spans="1:15" x14ac:dyDescent="0.3">
      <c r="A474" t="s">
        <v>541</v>
      </c>
      <c r="B474">
        <v>88</v>
      </c>
      <c r="C474">
        <v>6</v>
      </c>
      <c r="D474" s="1">
        <v>46043.030555555553</v>
      </c>
      <c r="E474">
        <v>49</v>
      </c>
      <c r="F474" t="s">
        <v>66</v>
      </c>
      <c r="G474" t="s">
        <v>64</v>
      </c>
      <c r="H474">
        <v>63</v>
      </c>
      <c r="I474" t="str">
        <f>IFERROR(VLOOKUP(C474,Merchants!$A$2:$D$41,2,FALSE),"Merchant not found")</f>
        <v>Merchant_006</v>
      </c>
      <c r="J474" t="str">
        <f>IFERROR(VLOOKUP(C474,Merchants!$A$2:$D$41,3,FALSE),"Merchant not found")</f>
        <v>food_delivery</v>
      </c>
      <c r="K474" t="str">
        <f>IFERROR(VLOOKUP(C474,Merchants!$A$2:$D$41,4,FALSE),"Merchant not found")</f>
        <v>South</v>
      </c>
      <c r="L474" s="2">
        <f>HLOOKUP(F474,Fee_lookup!$A$2:$E$3,2,FALSE)</f>
        <v>2.0000000000000001E-4</v>
      </c>
      <c r="M474" s="6">
        <f t="shared" si="21"/>
        <v>46043</v>
      </c>
      <c r="N474">
        <f t="shared" si="22"/>
        <v>49</v>
      </c>
      <c r="O474" t="str">
        <f t="shared" si="23"/>
        <v>Normal Merchant Day</v>
      </c>
    </row>
    <row r="475" spans="1:15" x14ac:dyDescent="0.3">
      <c r="A475" t="s">
        <v>542</v>
      </c>
      <c r="B475">
        <v>170</v>
      </c>
      <c r="C475">
        <v>37</v>
      </c>
      <c r="D475" s="1">
        <v>46050.570138888892</v>
      </c>
      <c r="E475">
        <v>99</v>
      </c>
      <c r="F475" t="s">
        <v>66</v>
      </c>
      <c r="G475" t="s">
        <v>79</v>
      </c>
      <c r="H475">
        <v>12</v>
      </c>
      <c r="I475" t="str">
        <f>IFERROR(VLOOKUP(C475,Merchants!$A$2:$D$41,2,FALSE),"Merchant not found")</f>
        <v>Merchant_037</v>
      </c>
      <c r="J475" t="str">
        <f>IFERROR(VLOOKUP(C475,Merchants!$A$2:$D$41,3,FALSE),"Merchant not found")</f>
        <v>entertainment</v>
      </c>
      <c r="K475" t="str">
        <f>IFERROR(VLOOKUP(C475,Merchants!$A$2:$D$41,4,FALSE),"Merchant not found")</f>
        <v>South</v>
      </c>
      <c r="L475" s="2">
        <f>HLOOKUP(F475,Fee_lookup!$A$2:$E$3,2,FALSE)</f>
        <v>2.0000000000000001E-4</v>
      </c>
      <c r="M475" s="6">
        <f t="shared" si="21"/>
        <v>46050</v>
      </c>
      <c r="N475">
        <f t="shared" si="22"/>
        <v>697</v>
      </c>
      <c r="O475" t="str">
        <f t="shared" si="23"/>
        <v>Normal Merchant Day</v>
      </c>
    </row>
    <row r="476" spans="1:15" x14ac:dyDescent="0.3">
      <c r="A476" t="s">
        <v>543</v>
      </c>
      <c r="B476">
        <v>22</v>
      </c>
      <c r="C476">
        <v>15</v>
      </c>
      <c r="D476" s="1">
        <v>46051.706944444442</v>
      </c>
      <c r="E476">
        <v>49</v>
      </c>
      <c r="F476" t="s">
        <v>69</v>
      </c>
      <c r="G476" t="s">
        <v>64</v>
      </c>
      <c r="H476">
        <v>27</v>
      </c>
      <c r="I476" t="str">
        <f>IFERROR(VLOOKUP(C476,Merchants!$A$2:$D$41,2,FALSE),"Merchant not found")</f>
        <v>Merchant_015</v>
      </c>
      <c r="J476" t="str">
        <f>IFERROR(VLOOKUP(C476,Merchants!$A$2:$D$41,3,FALSE),"Merchant not found")</f>
        <v>travel</v>
      </c>
      <c r="K476" t="str">
        <f>IFERROR(VLOOKUP(C476,Merchants!$A$2:$D$41,4,FALSE),"Merchant not found")</f>
        <v>North</v>
      </c>
      <c r="L476" s="2">
        <f>HLOOKUP(F476,Fee_lookup!$A$2:$E$3,2,FALSE)</f>
        <v>0.01</v>
      </c>
      <c r="M476" s="6">
        <f t="shared" si="21"/>
        <v>46051</v>
      </c>
      <c r="N476">
        <f t="shared" si="22"/>
        <v>98</v>
      </c>
      <c r="O476" t="str">
        <f t="shared" si="23"/>
        <v>Normal Merchant Day</v>
      </c>
    </row>
    <row r="477" spans="1:15" x14ac:dyDescent="0.3">
      <c r="A477" t="s">
        <v>544</v>
      </c>
      <c r="B477">
        <v>291</v>
      </c>
      <c r="C477">
        <v>31</v>
      </c>
      <c r="D477" s="1">
        <v>46051.955555555556</v>
      </c>
      <c r="E477">
        <v>49</v>
      </c>
      <c r="F477" t="s">
        <v>69</v>
      </c>
      <c r="G477" t="s">
        <v>79</v>
      </c>
      <c r="H477">
        <v>34</v>
      </c>
      <c r="I477" t="str">
        <f>IFERROR(VLOOKUP(C477,Merchants!$A$2:$D$41,2,FALSE),"Merchant not found")</f>
        <v>Merchant_031</v>
      </c>
      <c r="J477" t="str">
        <f>IFERROR(VLOOKUP(C477,Merchants!$A$2:$D$41,3,FALSE),"Merchant not found")</f>
        <v>bill_payment</v>
      </c>
      <c r="K477" t="str">
        <f>IFERROR(VLOOKUP(C477,Merchants!$A$2:$D$41,4,FALSE),"Merchant not found")</f>
        <v>East</v>
      </c>
      <c r="L477" s="2">
        <f>HLOOKUP(F477,Fee_lookup!$A$2:$E$3,2,FALSE)</f>
        <v>0.01</v>
      </c>
      <c r="M477" s="6">
        <f t="shared" si="21"/>
        <v>46051</v>
      </c>
      <c r="N477">
        <f t="shared" si="22"/>
        <v>49</v>
      </c>
      <c r="O477" t="str">
        <f t="shared" si="23"/>
        <v>Normal Merchant Day</v>
      </c>
    </row>
    <row r="478" spans="1:15" x14ac:dyDescent="0.3">
      <c r="A478" t="s">
        <v>545</v>
      </c>
      <c r="B478">
        <v>144</v>
      </c>
      <c r="C478">
        <v>35</v>
      </c>
      <c r="D478" s="1">
        <v>46024.113194444442</v>
      </c>
      <c r="E478">
        <v>1499</v>
      </c>
      <c r="F478" t="s">
        <v>66</v>
      </c>
      <c r="G478" t="s">
        <v>64</v>
      </c>
      <c r="H478">
        <v>72</v>
      </c>
      <c r="I478" t="str">
        <f>IFERROR(VLOOKUP(C478,Merchants!$A$2:$D$41,2,FALSE),"Merchant not found")</f>
        <v>Merchant_035</v>
      </c>
      <c r="J478" t="str">
        <f>IFERROR(VLOOKUP(C478,Merchants!$A$2:$D$41,3,FALSE),"Merchant not found")</f>
        <v>recharge</v>
      </c>
      <c r="K478" t="str">
        <f>IFERROR(VLOOKUP(C478,Merchants!$A$2:$D$41,4,FALSE),"Merchant not found")</f>
        <v>East</v>
      </c>
      <c r="L478" s="2">
        <f>HLOOKUP(F478,Fee_lookup!$A$2:$E$3,2,FALSE)</f>
        <v>2.0000000000000001E-4</v>
      </c>
      <c r="M478" s="6">
        <f t="shared" si="21"/>
        <v>46024</v>
      </c>
      <c r="N478">
        <f t="shared" si="22"/>
        <v>1847</v>
      </c>
      <c r="O478" t="str">
        <f t="shared" si="23"/>
        <v>Normal Merchant Day</v>
      </c>
    </row>
    <row r="479" spans="1:15" x14ac:dyDescent="0.3">
      <c r="A479" t="s">
        <v>546</v>
      </c>
      <c r="B479">
        <v>162</v>
      </c>
      <c r="C479">
        <v>2</v>
      </c>
      <c r="D479" s="1">
        <v>46044.049305555556</v>
      </c>
      <c r="E479">
        <v>299</v>
      </c>
      <c r="F479" t="s">
        <v>63</v>
      </c>
      <c r="G479" t="s">
        <v>64</v>
      </c>
      <c r="H479">
        <v>26</v>
      </c>
      <c r="I479" t="str">
        <f>IFERROR(VLOOKUP(C479,Merchants!$A$2:$D$41,2,FALSE),"Merchant not found")</f>
        <v>Merchant_002</v>
      </c>
      <c r="J479" t="str">
        <f>IFERROR(VLOOKUP(C479,Merchants!$A$2:$D$41,3,FALSE),"Merchant not found")</f>
        <v>grocery</v>
      </c>
      <c r="K479" t="str">
        <f>IFERROR(VLOOKUP(C479,Merchants!$A$2:$D$41,4,FALSE),"Merchant not found")</f>
        <v>West</v>
      </c>
      <c r="L479" s="2">
        <f>HLOOKUP(F479,Fee_lookup!$A$2:$E$3,2,FALSE)</f>
        <v>5.0000000000000001E-4</v>
      </c>
      <c r="M479" s="6">
        <f t="shared" si="21"/>
        <v>46044</v>
      </c>
      <c r="N479">
        <f t="shared" si="22"/>
        <v>299</v>
      </c>
      <c r="O479" t="str">
        <f t="shared" si="23"/>
        <v>Normal Merchant Day</v>
      </c>
    </row>
    <row r="480" spans="1:15" x14ac:dyDescent="0.3">
      <c r="A480" t="s">
        <v>547</v>
      </c>
      <c r="B480">
        <v>204</v>
      </c>
      <c r="C480">
        <v>5</v>
      </c>
      <c r="D480" s="1">
        <v>46041.2</v>
      </c>
      <c r="E480">
        <v>49</v>
      </c>
      <c r="F480" t="s">
        <v>66</v>
      </c>
      <c r="G480" t="s">
        <v>64</v>
      </c>
      <c r="H480">
        <v>38</v>
      </c>
      <c r="I480" t="str">
        <f>IFERROR(VLOOKUP(C480,Merchants!$A$2:$D$41,2,FALSE),"Merchant not found")</f>
        <v>Merchant_005</v>
      </c>
      <c r="J480" t="str">
        <f>IFERROR(VLOOKUP(C480,Merchants!$A$2:$D$41,3,FALSE),"Merchant not found")</f>
        <v>recharge</v>
      </c>
      <c r="K480" t="str">
        <f>IFERROR(VLOOKUP(C480,Merchants!$A$2:$D$41,4,FALSE),"Merchant not found")</f>
        <v>South</v>
      </c>
      <c r="L480" s="2">
        <f>HLOOKUP(F480,Fee_lookup!$A$2:$E$3,2,FALSE)</f>
        <v>2.0000000000000001E-4</v>
      </c>
      <c r="M480" s="6">
        <f t="shared" si="21"/>
        <v>46041</v>
      </c>
      <c r="N480">
        <f t="shared" si="22"/>
        <v>49</v>
      </c>
      <c r="O480" t="str">
        <f t="shared" si="23"/>
        <v>Normal Merchant Day</v>
      </c>
    </row>
    <row r="481" spans="1:15" x14ac:dyDescent="0.3">
      <c r="A481" t="s">
        <v>548</v>
      </c>
      <c r="B481">
        <v>291</v>
      </c>
      <c r="C481">
        <v>25</v>
      </c>
      <c r="D481" s="1">
        <v>46028.760416666664</v>
      </c>
      <c r="E481">
        <v>99</v>
      </c>
      <c r="F481" t="s">
        <v>63</v>
      </c>
      <c r="G481" t="s">
        <v>64</v>
      </c>
      <c r="H481">
        <v>86</v>
      </c>
      <c r="I481" t="str">
        <f>IFERROR(VLOOKUP(C481,Merchants!$A$2:$D$41,2,FALSE),"Merchant not found")</f>
        <v>Merchant_025</v>
      </c>
      <c r="J481" t="str">
        <f>IFERROR(VLOOKUP(C481,Merchants!$A$2:$D$41,3,FALSE),"Merchant not found")</f>
        <v>travel</v>
      </c>
      <c r="K481" t="str">
        <f>IFERROR(VLOOKUP(C481,Merchants!$A$2:$D$41,4,FALSE),"Merchant not found")</f>
        <v>South</v>
      </c>
      <c r="L481" s="2">
        <f>HLOOKUP(F481,Fee_lookup!$A$2:$E$3,2,FALSE)</f>
        <v>5.0000000000000001E-4</v>
      </c>
      <c r="M481" s="6">
        <f t="shared" si="21"/>
        <v>46028</v>
      </c>
      <c r="N481">
        <f t="shared" si="22"/>
        <v>898</v>
      </c>
      <c r="O481" t="str">
        <f t="shared" si="23"/>
        <v>Normal Merchant Day</v>
      </c>
    </row>
    <row r="482" spans="1:15" x14ac:dyDescent="0.3">
      <c r="A482" t="s">
        <v>549</v>
      </c>
      <c r="B482">
        <v>197</v>
      </c>
      <c r="C482">
        <v>9</v>
      </c>
      <c r="D482" s="1">
        <v>46051.722916666666</v>
      </c>
      <c r="E482">
        <v>49</v>
      </c>
      <c r="F482" t="s">
        <v>63</v>
      </c>
      <c r="G482" t="s">
        <v>79</v>
      </c>
      <c r="H482">
        <v>88</v>
      </c>
      <c r="I482" t="str">
        <f>IFERROR(VLOOKUP(C482,Merchants!$A$2:$D$41,2,FALSE),"Merchant not found")</f>
        <v>Merchant_009</v>
      </c>
      <c r="J482" t="str">
        <f>IFERROR(VLOOKUP(C482,Merchants!$A$2:$D$41,3,FALSE),"Merchant not found")</f>
        <v>ecommerce</v>
      </c>
      <c r="K482" t="str">
        <f>IFERROR(VLOOKUP(C482,Merchants!$A$2:$D$41,4,FALSE),"Merchant not found")</f>
        <v>North</v>
      </c>
      <c r="L482" s="2">
        <f>HLOOKUP(F482,Fee_lookup!$A$2:$E$3,2,FALSE)</f>
        <v>5.0000000000000001E-4</v>
      </c>
      <c r="M482" s="6">
        <f t="shared" si="21"/>
        <v>46051</v>
      </c>
      <c r="N482">
        <f t="shared" si="22"/>
        <v>49</v>
      </c>
      <c r="O482" t="str">
        <f t="shared" si="23"/>
        <v>Normal Merchant Day</v>
      </c>
    </row>
    <row r="483" spans="1:15" x14ac:dyDescent="0.3">
      <c r="A483" t="s">
        <v>550</v>
      </c>
      <c r="B483">
        <v>178</v>
      </c>
      <c r="C483">
        <v>4</v>
      </c>
      <c r="D483" s="1">
        <v>46046.105555555558</v>
      </c>
      <c r="E483">
        <v>1499</v>
      </c>
      <c r="F483" t="s">
        <v>66</v>
      </c>
      <c r="G483" t="s">
        <v>64</v>
      </c>
      <c r="H483">
        <v>12</v>
      </c>
      <c r="I483" t="str">
        <f>IFERROR(VLOOKUP(C483,Merchants!$A$2:$D$41,2,FALSE),"Merchant not found")</f>
        <v>Merchant_004</v>
      </c>
      <c r="J483" t="str">
        <f>IFERROR(VLOOKUP(C483,Merchants!$A$2:$D$41,3,FALSE),"Merchant not found")</f>
        <v>ecommerce</v>
      </c>
      <c r="K483" t="str">
        <f>IFERROR(VLOOKUP(C483,Merchants!$A$2:$D$41,4,FALSE),"Merchant not found")</f>
        <v>East</v>
      </c>
      <c r="L483" s="2">
        <f>HLOOKUP(F483,Fee_lookup!$A$2:$E$3,2,FALSE)</f>
        <v>2.0000000000000001E-4</v>
      </c>
      <c r="M483" s="6">
        <f t="shared" si="21"/>
        <v>46046</v>
      </c>
      <c r="N483">
        <f t="shared" si="22"/>
        <v>1499</v>
      </c>
      <c r="O483" t="str">
        <f t="shared" si="23"/>
        <v>Normal Merchant Day</v>
      </c>
    </row>
    <row r="484" spans="1:15" x14ac:dyDescent="0.3">
      <c r="A484" t="s">
        <v>551</v>
      </c>
      <c r="B484">
        <v>39</v>
      </c>
      <c r="C484">
        <v>22</v>
      </c>
      <c r="D484" s="1">
        <v>46036.328472222223</v>
      </c>
      <c r="E484">
        <v>799</v>
      </c>
      <c r="F484" t="s">
        <v>69</v>
      </c>
      <c r="G484" t="s">
        <v>64</v>
      </c>
      <c r="H484">
        <v>77</v>
      </c>
      <c r="I484" t="str">
        <f>IFERROR(VLOOKUP(C484,Merchants!$A$2:$D$41,2,FALSE),"Merchant not found")</f>
        <v>Merchant_022</v>
      </c>
      <c r="J484" t="str">
        <f>IFERROR(VLOOKUP(C484,Merchants!$A$2:$D$41,3,FALSE),"Merchant not found")</f>
        <v>travel</v>
      </c>
      <c r="K484" t="str">
        <f>IFERROR(VLOOKUP(C484,Merchants!$A$2:$D$41,4,FALSE),"Merchant not found")</f>
        <v>South</v>
      </c>
      <c r="L484" s="2">
        <f>HLOOKUP(F484,Fee_lookup!$A$2:$E$3,2,FALSE)</f>
        <v>0.01</v>
      </c>
      <c r="M484" s="6">
        <f t="shared" si="21"/>
        <v>46036</v>
      </c>
      <c r="N484">
        <f t="shared" si="22"/>
        <v>799</v>
      </c>
      <c r="O484" t="str">
        <f t="shared" si="23"/>
        <v>Normal Merchant Day</v>
      </c>
    </row>
    <row r="485" spans="1:15" x14ac:dyDescent="0.3">
      <c r="A485" t="s">
        <v>552</v>
      </c>
      <c r="B485">
        <v>204</v>
      </c>
      <c r="C485">
        <v>21</v>
      </c>
      <c r="D485" s="1">
        <v>46047.818055555559</v>
      </c>
      <c r="E485">
        <v>299</v>
      </c>
      <c r="F485" t="s">
        <v>63</v>
      </c>
      <c r="G485" t="s">
        <v>64</v>
      </c>
      <c r="H485">
        <v>3</v>
      </c>
      <c r="I485" t="str">
        <f>IFERROR(VLOOKUP(C485,Merchants!$A$2:$D$41,2,FALSE),"Merchant not found")</f>
        <v>Merchant_021</v>
      </c>
      <c r="J485" t="str">
        <f>IFERROR(VLOOKUP(C485,Merchants!$A$2:$D$41,3,FALSE),"Merchant not found")</f>
        <v>food_delivery</v>
      </c>
      <c r="K485" t="str">
        <f>IFERROR(VLOOKUP(C485,Merchants!$A$2:$D$41,4,FALSE),"Merchant not found")</f>
        <v>East</v>
      </c>
      <c r="L485" s="2">
        <f>HLOOKUP(F485,Fee_lookup!$A$2:$E$3,2,FALSE)</f>
        <v>5.0000000000000001E-4</v>
      </c>
      <c r="M485" s="6">
        <f t="shared" si="21"/>
        <v>46047</v>
      </c>
      <c r="N485">
        <f t="shared" si="22"/>
        <v>299</v>
      </c>
      <c r="O485" t="str">
        <f t="shared" si="23"/>
        <v>Normal Merchant Day</v>
      </c>
    </row>
    <row r="486" spans="1:15" x14ac:dyDescent="0.3">
      <c r="A486" t="s">
        <v>553</v>
      </c>
      <c r="B486">
        <v>231</v>
      </c>
      <c r="C486">
        <v>32</v>
      </c>
      <c r="D486" s="1">
        <v>46043.368055555555</v>
      </c>
      <c r="E486">
        <v>299</v>
      </c>
      <c r="F486" t="s">
        <v>66</v>
      </c>
      <c r="G486" t="s">
        <v>64</v>
      </c>
      <c r="H486">
        <v>29</v>
      </c>
      <c r="I486" t="str">
        <f>IFERROR(VLOOKUP(C486,Merchants!$A$2:$D$41,2,FALSE),"Merchant not found")</f>
        <v>Merchant_032</v>
      </c>
      <c r="J486" t="str">
        <f>IFERROR(VLOOKUP(C486,Merchants!$A$2:$D$41,3,FALSE),"Merchant not found")</f>
        <v>food_delivery</v>
      </c>
      <c r="K486" t="str">
        <f>IFERROR(VLOOKUP(C486,Merchants!$A$2:$D$41,4,FALSE),"Merchant not found")</f>
        <v>West</v>
      </c>
      <c r="L486" s="2">
        <f>HLOOKUP(F486,Fee_lookup!$A$2:$E$3,2,FALSE)</f>
        <v>2.0000000000000001E-4</v>
      </c>
      <c r="M486" s="6">
        <f t="shared" si="21"/>
        <v>46043</v>
      </c>
      <c r="N486">
        <f t="shared" si="22"/>
        <v>348</v>
      </c>
      <c r="O486" t="str">
        <f t="shared" si="23"/>
        <v>Normal Merchant Day</v>
      </c>
    </row>
    <row r="487" spans="1:15" x14ac:dyDescent="0.3">
      <c r="A487" t="s">
        <v>554</v>
      </c>
      <c r="B487">
        <v>222</v>
      </c>
      <c r="C487">
        <v>12</v>
      </c>
      <c r="D487" s="1">
        <v>46034.724999999999</v>
      </c>
      <c r="E487">
        <v>499</v>
      </c>
      <c r="F487" t="s">
        <v>63</v>
      </c>
      <c r="G487" t="s">
        <v>79</v>
      </c>
      <c r="H487">
        <v>87</v>
      </c>
      <c r="I487" t="str">
        <f>IFERROR(VLOOKUP(C487,Merchants!$A$2:$D$41,2,FALSE),"Merchant not found")</f>
        <v>Merchant_012</v>
      </c>
      <c r="J487" t="str">
        <f>IFERROR(VLOOKUP(C487,Merchants!$A$2:$D$41,3,FALSE),"Merchant not found")</f>
        <v>ecommerce</v>
      </c>
      <c r="K487" t="str">
        <f>IFERROR(VLOOKUP(C487,Merchants!$A$2:$D$41,4,FALSE),"Merchant not found")</f>
        <v>East</v>
      </c>
      <c r="L487" s="2">
        <f>HLOOKUP(F487,Fee_lookup!$A$2:$E$3,2,FALSE)</f>
        <v>5.0000000000000001E-4</v>
      </c>
      <c r="M487" s="6">
        <f t="shared" si="21"/>
        <v>46034</v>
      </c>
      <c r="N487">
        <f t="shared" si="22"/>
        <v>1998</v>
      </c>
      <c r="O487" t="str">
        <f t="shared" si="23"/>
        <v>Normal Merchant Day</v>
      </c>
    </row>
    <row r="488" spans="1:15" x14ac:dyDescent="0.3">
      <c r="A488" t="s">
        <v>555</v>
      </c>
      <c r="B488">
        <v>44</v>
      </c>
      <c r="C488">
        <v>40</v>
      </c>
      <c r="D488" s="1">
        <v>46041.89166666667</v>
      </c>
      <c r="E488">
        <v>499</v>
      </c>
      <c r="F488" t="s">
        <v>66</v>
      </c>
      <c r="G488" t="s">
        <v>64</v>
      </c>
      <c r="H488">
        <v>37</v>
      </c>
      <c r="I488" t="str">
        <f>IFERROR(VLOOKUP(C488,Merchants!$A$2:$D$41,2,FALSE),"Merchant not found")</f>
        <v>Merchant_040</v>
      </c>
      <c r="J488" t="str">
        <f>IFERROR(VLOOKUP(C488,Merchants!$A$2:$D$41,3,FALSE),"Merchant not found")</f>
        <v>entertainment</v>
      </c>
      <c r="K488" t="str">
        <f>IFERROR(VLOOKUP(C488,Merchants!$A$2:$D$41,4,FALSE),"Merchant not found")</f>
        <v>South</v>
      </c>
      <c r="L488" s="2">
        <f>HLOOKUP(F488,Fee_lookup!$A$2:$E$3,2,FALSE)</f>
        <v>2.0000000000000001E-4</v>
      </c>
      <c r="M488" s="6">
        <f t="shared" si="21"/>
        <v>46041</v>
      </c>
      <c r="N488">
        <f t="shared" si="22"/>
        <v>648</v>
      </c>
      <c r="O488" t="str">
        <f t="shared" si="23"/>
        <v>Normal Merchant Day</v>
      </c>
    </row>
    <row r="489" spans="1:15" x14ac:dyDescent="0.3">
      <c r="A489" t="s">
        <v>556</v>
      </c>
      <c r="B489">
        <v>38</v>
      </c>
      <c r="C489">
        <v>6</v>
      </c>
      <c r="D489" s="1">
        <v>46048.322916666664</v>
      </c>
      <c r="E489">
        <v>49</v>
      </c>
      <c r="F489" t="s">
        <v>63</v>
      </c>
      <c r="G489" t="s">
        <v>64</v>
      </c>
      <c r="H489">
        <v>34</v>
      </c>
      <c r="I489" t="str">
        <f>IFERROR(VLOOKUP(C489,Merchants!$A$2:$D$41,2,FALSE),"Merchant not found")</f>
        <v>Merchant_006</v>
      </c>
      <c r="J489" t="str">
        <f>IFERROR(VLOOKUP(C489,Merchants!$A$2:$D$41,3,FALSE),"Merchant not found")</f>
        <v>food_delivery</v>
      </c>
      <c r="K489" t="str">
        <f>IFERROR(VLOOKUP(C489,Merchants!$A$2:$D$41,4,FALSE),"Merchant not found")</f>
        <v>South</v>
      </c>
      <c r="L489" s="2">
        <f>HLOOKUP(F489,Fee_lookup!$A$2:$E$3,2,FALSE)</f>
        <v>5.0000000000000001E-4</v>
      </c>
      <c r="M489" s="6">
        <f t="shared" si="21"/>
        <v>46048</v>
      </c>
      <c r="N489">
        <f t="shared" si="22"/>
        <v>897</v>
      </c>
      <c r="O489" t="str">
        <f t="shared" si="23"/>
        <v>Normal Merchant Day</v>
      </c>
    </row>
    <row r="490" spans="1:15" x14ac:dyDescent="0.3">
      <c r="A490" t="s">
        <v>557</v>
      </c>
      <c r="B490">
        <v>325</v>
      </c>
      <c r="C490">
        <v>10</v>
      </c>
      <c r="D490" s="1">
        <v>46027.53125</v>
      </c>
      <c r="E490">
        <v>49</v>
      </c>
      <c r="F490" t="s">
        <v>69</v>
      </c>
      <c r="G490" t="s">
        <v>92</v>
      </c>
      <c r="H490">
        <v>94</v>
      </c>
      <c r="I490" t="str">
        <f>IFERROR(VLOOKUP(C490,Merchants!$A$2:$D$41,2,FALSE),"Merchant not found")</f>
        <v>Merchant_010</v>
      </c>
      <c r="J490" t="str">
        <f>IFERROR(VLOOKUP(C490,Merchants!$A$2:$D$41,3,FALSE),"Merchant not found")</f>
        <v>grocery</v>
      </c>
      <c r="K490" t="str">
        <f>IFERROR(VLOOKUP(C490,Merchants!$A$2:$D$41,4,FALSE),"Merchant not found")</f>
        <v>West</v>
      </c>
      <c r="L490" s="2">
        <f>HLOOKUP(F490,Fee_lookup!$A$2:$E$3,2,FALSE)</f>
        <v>0.01</v>
      </c>
      <c r="M490" s="6">
        <f t="shared" si="21"/>
        <v>46027</v>
      </c>
      <c r="N490">
        <f t="shared" si="22"/>
        <v>49</v>
      </c>
      <c r="O490" t="str">
        <f t="shared" si="23"/>
        <v>Normal Merchant Day</v>
      </c>
    </row>
    <row r="491" spans="1:15" x14ac:dyDescent="0.3">
      <c r="A491" t="s">
        <v>558</v>
      </c>
      <c r="B491">
        <v>55</v>
      </c>
      <c r="C491">
        <v>6</v>
      </c>
      <c r="D491" s="1">
        <v>46035.432638888888</v>
      </c>
      <c r="E491">
        <v>1499</v>
      </c>
      <c r="F491" t="s">
        <v>78</v>
      </c>
      <c r="G491" t="s">
        <v>64</v>
      </c>
      <c r="H491">
        <v>0</v>
      </c>
      <c r="I491" t="str">
        <f>IFERROR(VLOOKUP(C491,Merchants!$A$2:$D$41,2,FALSE),"Merchant not found")</f>
        <v>Merchant_006</v>
      </c>
      <c r="J491" t="str">
        <f>IFERROR(VLOOKUP(C491,Merchants!$A$2:$D$41,3,FALSE),"Merchant not found")</f>
        <v>food_delivery</v>
      </c>
      <c r="K491" t="str">
        <f>IFERROR(VLOOKUP(C491,Merchants!$A$2:$D$41,4,FALSE),"Merchant not found")</f>
        <v>South</v>
      </c>
      <c r="L491" s="2">
        <f>HLOOKUP(F491,Fee_lookup!$A$2:$E$3,2,FALSE)</f>
        <v>1.4999999999999999E-2</v>
      </c>
      <c r="M491" s="6">
        <f t="shared" si="21"/>
        <v>46035</v>
      </c>
      <c r="N491">
        <f t="shared" si="22"/>
        <v>1499</v>
      </c>
      <c r="O491" t="str">
        <f t="shared" si="23"/>
        <v>Normal Merchant Day</v>
      </c>
    </row>
    <row r="492" spans="1:15" x14ac:dyDescent="0.3">
      <c r="A492" t="s">
        <v>559</v>
      </c>
      <c r="B492">
        <v>139</v>
      </c>
      <c r="C492">
        <v>7</v>
      </c>
      <c r="D492" s="1">
        <v>46032.599305555559</v>
      </c>
      <c r="E492">
        <v>499</v>
      </c>
      <c r="F492" t="s">
        <v>78</v>
      </c>
      <c r="G492" t="s">
        <v>64</v>
      </c>
      <c r="H492">
        <v>16</v>
      </c>
      <c r="I492" t="str">
        <f>IFERROR(VLOOKUP(C492,Merchants!$A$2:$D$41,2,FALSE),"Merchant not found")</f>
        <v>Merchant_007</v>
      </c>
      <c r="J492" t="str">
        <f>IFERROR(VLOOKUP(C492,Merchants!$A$2:$D$41,3,FALSE),"Merchant not found")</f>
        <v>food_delivery</v>
      </c>
      <c r="K492" t="str">
        <f>IFERROR(VLOOKUP(C492,Merchants!$A$2:$D$41,4,FALSE),"Merchant not found")</f>
        <v>East</v>
      </c>
      <c r="L492" s="2">
        <f>HLOOKUP(F492,Fee_lookup!$A$2:$E$3,2,FALSE)</f>
        <v>1.4999999999999999E-2</v>
      </c>
      <c r="M492" s="6">
        <f t="shared" si="21"/>
        <v>46032</v>
      </c>
      <c r="N492">
        <f t="shared" si="22"/>
        <v>499</v>
      </c>
      <c r="O492" t="str">
        <f t="shared" si="23"/>
        <v>Normal Merchant Day</v>
      </c>
    </row>
    <row r="493" spans="1:15" x14ac:dyDescent="0.3">
      <c r="A493" t="s">
        <v>560</v>
      </c>
      <c r="B493">
        <v>230</v>
      </c>
      <c r="C493">
        <v>36</v>
      </c>
      <c r="D493" s="1">
        <v>46025.227083333331</v>
      </c>
      <c r="E493">
        <v>99</v>
      </c>
      <c r="F493" t="s">
        <v>63</v>
      </c>
      <c r="G493" t="s">
        <v>64</v>
      </c>
      <c r="H493">
        <v>71</v>
      </c>
      <c r="I493" t="str">
        <f>IFERROR(VLOOKUP(C493,Merchants!$A$2:$D$41,2,FALSE),"Merchant not found")</f>
        <v>Merchant_036</v>
      </c>
      <c r="J493" t="str">
        <f>IFERROR(VLOOKUP(C493,Merchants!$A$2:$D$41,3,FALSE),"Merchant not found")</f>
        <v>entertainment</v>
      </c>
      <c r="K493" t="str">
        <f>IFERROR(VLOOKUP(C493,Merchants!$A$2:$D$41,4,FALSE),"Merchant not found")</f>
        <v>East</v>
      </c>
      <c r="L493" s="2">
        <f>HLOOKUP(F493,Fee_lookup!$A$2:$E$3,2,FALSE)</f>
        <v>5.0000000000000001E-4</v>
      </c>
      <c r="M493" s="6">
        <f t="shared" si="21"/>
        <v>46025</v>
      </c>
      <c r="N493">
        <f t="shared" si="22"/>
        <v>248</v>
      </c>
      <c r="O493" t="str">
        <f t="shared" si="23"/>
        <v>Normal Merchant Day</v>
      </c>
    </row>
    <row r="494" spans="1:15" x14ac:dyDescent="0.3">
      <c r="A494" t="s">
        <v>561</v>
      </c>
      <c r="B494">
        <v>14</v>
      </c>
      <c r="C494">
        <v>6</v>
      </c>
      <c r="D494" s="1">
        <v>46039.54583333333</v>
      </c>
      <c r="E494">
        <v>799</v>
      </c>
      <c r="F494" t="s">
        <v>78</v>
      </c>
      <c r="G494" t="s">
        <v>64</v>
      </c>
      <c r="H494">
        <v>45</v>
      </c>
      <c r="I494" t="str">
        <f>IFERROR(VLOOKUP(C494,Merchants!$A$2:$D$41,2,FALSE),"Merchant not found")</f>
        <v>Merchant_006</v>
      </c>
      <c r="J494" t="str">
        <f>IFERROR(VLOOKUP(C494,Merchants!$A$2:$D$41,3,FALSE),"Merchant not found")</f>
        <v>food_delivery</v>
      </c>
      <c r="K494" t="str">
        <f>IFERROR(VLOOKUP(C494,Merchants!$A$2:$D$41,4,FALSE),"Merchant not found")</f>
        <v>South</v>
      </c>
      <c r="L494" s="2">
        <f>HLOOKUP(F494,Fee_lookup!$A$2:$E$3,2,FALSE)</f>
        <v>1.4999999999999999E-2</v>
      </c>
      <c r="M494" s="6">
        <f t="shared" si="21"/>
        <v>46039</v>
      </c>
      <c r="N494">
        <f t="shared" si="22"/>
        <v>799</v>
      </c>
      <c r="O494" t="str">
        <f t="shared" si="23"/>
        <v>Normal Merchant Day</v>
      </c>
    </row>
    <row r="495" spans="1:15" x14ac:dyDescent="0.3">
      <c r="A495" t="s">
        <v>562</v>
      </c>
      <c r="B495">
        <v>307</v>
      </c>
      <c r="C495">
        <v>21</v>
      </c>
      <c r="D495" s="1">
        <v>46040.109722222223</v>
      </c>
      <c r="E495">
        <v>799</v>
      </c>
      <c r="F495" t="s">
        <v>66</v>
      </c>
      <c r="G495" t="s">
        <v>64</v>
      </c>
      <c r="H495">
        <v>49</v>
      </c>
      <c r="I495" t="str">
        <f>IFERROR(VLOOKUP(C495,Merchants!$A$2:$D$41,2,FALSE),"Merchant not found")</f>
        <v>Merchant_021</v>
      </c>
      <c r="J495" t="str">
        <f>IFERROR(VLOOKUP(C495,Merchants!$A$2:$D$41,3,FALSE),"Merchant not found")</f>
        <v>food_delivery</v>
      </c>
      <c r="K495" t="str">
        <f>IFERROR(VLOOKUP(C495,Merchants!$A$2:$D$41,4,FALSE),"Merchant not found")</f>
        <v>East</v>
      </c>
      <c r="L495" s="2">
        <f>HLOOKUP(F495,Fee_lookup!$A$2:$E$3,2,FALSE)</f>
        <v>2.0000000000000001E-4</v>
      </c>
      <c r="M495" s="6">
        <f t="shared" si="21"/>
        <v>46040</v>
      </c>
      <c r="N495">
        <f t="shared" si="22"/>
        <v>799</v>
      </c>
      <c r="O495" t="str">
        <f t="shared" si="23"/>
        <v>Normal Merchant Day</v>
      </c>
    </row>
    <row r="496" spans="1:15" x14ac:dyDescent="0.3">
      <c r="A496" t="s">
        <v>563</v>
      </c>
      <c r="B496">
        <v>199</v>
      </c>
      <c r="C496">
        <v>6</v>
      </c>
      <c r="D496" s="1">
        <v>46023.393055555556</v>
      </c>
      <c r="E496">
        <v>49</v>
      </c>
      <c r="F496" t="s">
        <v>66</v>
      </c>
      <c r="G496" t="s">
        <v>64</v>
      </c>
      <c r="H496">
        <v>92</v>
      </c>
      <c r="I496" t="str">
        <f>IFERROR(VLOOKUP(C496,Merchants!$A$2:$D$41,2,FALSE),"Merchant not found")</f>
        <v>Merchant_006</v>
      </c>
      <c r="J496" t="str">
        <f>IFERROR(VLOOKUP(C496,Merchants!$A$2:$D$41,3,FALSE),"Merchant not found")</f>
        <v>food_delivery</v>
      </c>
      <c r="K496" t="str">
        <f>IFERROR(VLOOKUP(C496,Merchants!$A$2:$D$41,4,FALSE),"Merchant not found")</f>
        <v>South</v>
      </c>
      <c r="L496" s="2">
        <f>HLOOKUP(F496,Fee_lookup!$A$2:$E$3,2,FALSE)</f>
        <v>2.0000000000000001E-4</v>
      </c>
      <c r="M496" s="6">
        <f t="shared" si="21"/>
        <v>46023</v>
      </c>
      <c r="N496">
        <f t="shared" si="22"/>
        <v>49</v>
      </c>
      <c r="O496" t="str">
        <f t="shared" si="23"/>
        <v>Normal Merchant Day</v>
      </c>
    </row>
    <row r="497" spans="1:15" x14ac:dyDescent="0.3">
      <c r="A497" t="s">
        <v>564</v>
      </c>
      <c r="B497">
        <v>125</v>
      </c>
      <c r="C497">
        <v>37</v>
      </c>
      <c r="D497" s="1">
        <v>46051.747916666667</v>
      </c>
      <c r="E497">
        <v>149</v>
      </c>
      <c r="F497" t="s">
        <v>63</v>
      </c>
      <c r="G497" t="s">
        <v>64</v>
      </c>
      <c r="H497">
        <v>66</v>
      </c>
      <c r="I497" t="str">
        <f>IFERROR(VLOOKUP(C497,Merchants!$A$2:$D$41,2,FALSE),"Merchant not found")</f>
        <v>Merchant_037</v>
      </c>
      <c r="J497" t="str">
        <f>IFERROR(VLOOKUP(C497,Merchants!$A$2:$D$41,3,FALSE),"Merchant not found")</f>
        <v>entertainment</v>
      </c>
      <c r="K497" t="str">
        <f>IFERROR(VLOOKUP(C497,Merchants!$A$2:$D$41,4,FALSE),"Merchant not found")</f>
        <v>South</v>
      </c>
      <c r="L497" s="2">
        <f>HLOOKUP(F497,Fee_lookup!$A$2:$E$3,2,FALSE)</f>
        <v>5.0000000000000001E-4</v>
      </c>
      <c r="M497" s="6">
        <f t="shared" si="21"/>
        <v>46051</v>
      </c>
      <c r="N497">
        <f t="shared" si="22"/>
        <v>149</v>
      </c>
      <c r="O497" t="str">
        <f t="shared" si="23"/>
        <v>Normal Merchant Day</v>
      </c>
    </row>
    <row r="498" spans="1:15" x14ac:dyDescent="0.3">
      <c r="A498" t="s">
        <v>565</v>
      </c>
      <c r="B498">
        <v>87</v>
      </c>
      <c r="C498">
        <v>9</v>
      </c>
      <c r="D498" s="1">
        <v>46028.89166666667</v>
      </c>
      <c r="E498">
        <v>149</v>
      </c>
      <c r="F498" t="s">
        <v>66</v>
      </c>
      <c r="G498" t="s">
        <v>64</v>
      </c>
      <c r="H498">
        <v>34</v>
      </c>
      <c r="I498" t="str">
        <f>IFERROR(VLOOKUP(C498,Merchants!$A$2:$D$41,2,FALSE),"Merchant not found")</f>
        <v>Merchant_009</v>
      </c>
      <c r="J498" t="str">
        <f>IFERROR(VLOOKUP(C498,Merchants!$A$2:$D$41,3,FALSE),"Merchant not found")</f>
        <v>ecommerce</v>
      </c>
      <c r="K498" t="str">
        <f>IFERROR(VLOOKUP(C498,Merchants!$A$2:$D$41,4,FALSE),"Merchant not found")</f>
        <v>North</v>
      </c>
      <c r="L498" s="2">
        <f>HLOOKUP(F498,Fee_lookup!$A$2:$E$3,2,FALSE)</f>
        <v>2.0000000000000001E-4</v>
      </c>
      <c r="M498" s="6">
        <f t="shared" si="21"/>
        <v>46028</v>
      </c>
      <c r="N498">
        <f t="shared" si="22"/>
        <v>149</v>
      </c>
      <c r="O498" t="str">
        <f t="shared" si="23"/>
        <v>Normal Merchant Day</v>
      </c>
    </row>
    <row r="499" spans="1:15" x14ac:dyDescent="0.3">
      <c r="A499" t="s">
        <v>566</v>
      </c>
      <c r="B499">
        <v>75</v>
      </c>
      <c r="C499">
        <v>5</v>
      </c>
      <c r="D499" s="1">
        <v>46032.354861111111</v>
      </c>
      <c r="E499">
        <v>99</v>
      </c>
      <c r="F499" t="s">
        <v>66</v>
      </c>
      <c r="G499" t="s">
        <v>64</v>
      </c>
      <c r="H499">
        <v>21</v>
      </c>
      <c r="I499" t="str">
        <f>IFERROR(VLOOKUP(C499,Merchants!$A$2:$D$41,2,FALSE),"Merchant not found")</f>
        <v>Merchant_005</v>
      </c>
      <c r="J499" t="str">
        <f>IFERROR(VLOOKUP(C499,Merchants!$A$2:$D$41,3,FALSE),"Merchant not found")</f>
        <v>recharge</v>
      </c>
      <c r="K499" t="str">
        <f>IFERROR(VLOOKUP(C499,Merchants!$A$2:$D$41,4,FALSE),"Merchant not found")</f>
        <v>South</v>
      </c>
      <c r="L499" s="2">
        <f>HLOOKUP(F499,Fee_lookup!$A$2:$E$3,2,FALSE)</f>
        <v>2.0000000000000001E-4</v>
      </c>
      <c r="M499" s="6">
        <f t="shared" si="21"/>
        <v>46032</v>
      </c>
      <c r="N499">
        <f t="shared" si="22"/>
        <v>99</v>
      </c>
      <c r="O499" t="str">
        <f t="shared" si="23"/>
        <v>Normal Merchant Day</v>
      </c>
    </row>
    <row r="500" spans="1:15" x14ac:dyDescent="0.3">
      <c r="A500" t="s">
        <v>567</v>
      </c>
      <c r="B500">
        <v>154</v>
      </c>
      <c r="C500">
        <v>31</v>
      </c>
      <c r="D500" s="1">
        <v>46036.351388888892</v>
      </c>
      <c r="E500">
        <v>499</v>
      </c>
      <c r="F500" t="s">
        <v>63</v>
      </c>
      <c r="G500" t="s">
        <v>64</v>
      </c>
      <c r="H500">
        <v>100</v>
      </c>
      <c r="I500" t="str">
        <f>IFERROR(VLOOKUP(C500,Merchants!$A$2:$D$41,2,FALSE),"Merchant not found")</f>
        <v>Merchant_031</v>
      </c>
      <c r="J500" t="str">
        <f>IFERROR(VLOOKUP(C500,Merchants!$A$2:$D$41,3,FALSE),"Merchant not found")</f>
        <v>bill_payment</v>
      </c>
      <c r="K500" t="str">
        <f>IFERROR(VLOOKUP(C500,Merchants!$A$2:$D$41,4,FALSE),"Merchant not found")</f>
        <v>East</v>
      </c>
      <c r="L500" s="2">
        <f>HLOOKUP(F500,Fee_lookup!$A$2:$E$3,2,FALSE)</f>
        <v>5.0000000000000001E-4</v>
      </c>
      <c r="M500" s="6">
        <f t="shared" si="21"/>
        <v>46036</v>
      </c>
      <c r="N500">
        <f t="shared" si="22"/>
        <v>499</v>
      </c>
      <c r="O500" t="str">
        <f t="shared" si="23"/>
        <v>Normal Merchant Day</v>
      </c>
    </row>
    <row r="501" spans="1:15" x14ac:dyDescent="0.3">
      <c r="A501" t="s">
        <v>568</v>
      </c>
      <c r="B501">
        <v>127</v>
      </c>
      <c r="C501">
        <v>32</v>
      </c>
      <c r="D501" s="1">
        <v>46025.469444444447</v>
      </c>
      <c r="E501">
        <v>149</v>
      </c>
      <c r="F501" t="s">
        <v>78</v>
      </c>
      <c r="G501" t="s">
        <v>64</v>
      </c>
      <c r="H501">
        <v>76</v>
      </c>
      <c r="I501" t="str">
        <f>IFERROR(VLOOKUP(C501,Merchants!$A$2:$D$41,2,FALSE),"Merchant not found")</f>
        <v>Merchant_032</v>
      </c>
      <c r="J501" t="str">
        <f>IFERROR(VLOOKUP(C501,Merchants!$A$2:$D$41,3,FALSE),"Merchant not found")</f>
        <v>food_delivery</v>
      </c>
      <c r="K501" t="str">
        <f>IFERROR(VLOOKUP(C501,Merchants!$A$2:$D$41,4,FALSE),"Merchant not found")</f>
        <v>West</v>
      </c>
      <c r="L501" s="2">
        <f>HLOOKUP(F501,Fee_lookup!$A$2:$E$3,2,FALSE)</f>
        <v>1.4999999999999999E-2</v>
      </c>
      <c r="M501" s="6">
        <f t="shared" si="21"/>
        <v>46025</v>
      </c>
      <c r="N501">
        <f t="shared" si="22"/>
        <v>149</v>
      </c>
      <c r="O501" t="str">
        <f t="shared" si="23"/>
        <v>Normal Merchant Day</v>
      </c>
    </row>
    <row r="502" spans="1:15" x14ac:dyDescent="0.3">
      <c r="A502" t="s">
        <v>569</v>
      </c>
      <c r="B502">
        <v>351</v>
      </c>
      <c r="C502">
        <v>7</v>
      </c>
      <c r="D502" s="1">
        <v>46052.25</v>
      </c>
      <c r="E502">
        <v>1999</v>
      </c>
      <c r="F502" t="s">
        <v>78</v>
      </c>
      <c r="G502" t="s">
        <v>92</v>
      </c>
      <c r="H502">
        <v>79</v>
      </c>
      <c r="I502" t="str">
        <f>IFERROR(VLOOKUP(C502,Merchants!$A$2:$D$41,2,FALSE),"Merchant not found")</f>
        <v>Merchant_007</v>
      </c>
      <c r="J502" t="str">
        <f>IFERROR(VLOOKUP(C502,Merchants!$A$2:$D$41,3,FALSE),"Merchant not found")</f>
        <v>food_delivery</v>
      </c>
      <c r="K502" t="str">
        <f>IFERROR(VLOOKUP(C502,Merchants!$A$2:$D$41,4,FALSE),"Merchant not found")</f>
        <v>East</v>
      </c>
      <c r="L502" s="2">
        <f>HLOOKUP(F502,Fee_lookup!$A$2:$E$3,2,FALSE)</f>
        <v>1.4999999999999999E-2</v>
      </c>
      <c r="M502" s="6">
        <f t="shared" si="21"/>
        <v>46052</v>
      </c>
      <c r="N502">
        <f t="shared" si="22"/>
        <v>1999</v>
      </c>
      <c r="O502" t="str">
        <f t="shared" si="23"/>
        <v>Normal Merchant Day</v>
      </c>
    </row>
    <row r="503" spans="1:15" x14ac:dyDescent="0.3">
      <c r="A503" t="s">
        <v>570</v>
      </c>
      <c r="B503">
        <v>352</v>
      </c>
      <c r="C503">
        <v>40</v>
      </c>
      <c r="D503" s="1">
        <v>46033.5</v>
      </c>
      <c r="E503">
        <v>4999</v>
      </c>
      <c r="F503" t="s">
        <v>78</v>
      </c>
      <c r="G503" t="s">
        <v>92</v>
      </c>
      <c r="H503">
        <v>95</v>
      </c>
      <c r="I503" t="str">
        <f>IFERROR(VLOOKUP(C503,Merchants!$A$2:$D$41,2,FALSE),"Merchant not found")</f>
        <v>Merchant_040</v>
      </c>
      <c r="J503" t="str">
        <f>IFERROR(VLOOKUP(C503,Merchants!$A$2:$D$41,3,FALSE),"Merchant not found")</f>
        <v>entertainment</v>
      </c>
      <c r="K503" t="str">
        <f>IFERROR(VLOOKUP(C503,Merchants!$A$2:$D$41,4,FALSE),"Merchant not found")</f>
        <v>South</v>
      </c>
      <c r="L503" s="2">
        <f>HLOOKUP(F503,Fee_lookup!$A$2:$E$3,2,FALSE)</f>
        <v>1.4999999999999999E-2</v>
      </c>
      <c r="M503" s="6">
        <f t="shared" si="21"/>
        <v>46033</v>
      </c>
      <c r="N503">
        <f t="shared" si="22"/>
        <v>4999</v>
      </c>
      <c r="O503" t="str">
        <f t="shared" si="23"/>
        <v>Normal Merchant Day</v>
      </c>
    </row>
    <row r="504" spans="1:15" x14ac:dyDescent="0.3">
      <c r="A504" t="s">
        <v>571</v>
      </c>
      <c r="B504">
        <v>353</v>
      </c>
      <c r="C504">
        <v>28</v>
      </c>
      <c r="D504" s="1">
        <v>46043.583333333336</v>
      </c>
      <c r="E504">
        <v>1999</v>
      </c>
      <c r="F504" t="s">
        <v>78</v>
      </c>
      <c r="G504" t="s">
        <v>92</v>
      </c>
      <c r="H504">
        <v>79</v>
      </c>
      <c r="I504" t="str">
        <f>IFERROR(VLOOKUP(C504,Merchants!$A$2:$D$41,2,FALSE),"Merchant not found")</f>
        <v>Merchant_028</v>
      </c>
      <c r="J504" t="str">
        <f>IFERROR(VLOOKUP(C504,Merchants!$A$2:$D$41,3,FALSE),"Merchant not found")</f>
        <v>ecommerce</v>
      </c>
      <c r="K504" t="str">
        <f>IFERROR(VLOOKUP(C504,Merchants!$A$2:$D$41,4,FALSE),"Merchant not found")</f>
        <v>South</v>
      </c>
      <c r="L504" s="2">
        <f>HLOOKUP(F504,Fee_lookup!$A$2:$E$3,2,FALSE)</f>
        <v>1.4999999999999999E-2</v>
      </c>
      <c r="M504" s="6">
        <f t="shared" si="21"/>
        <v>46043</v>
      </c>
      <c r="N504">
        <f t="shared" si="22"/>
        <v>1999</v>
      </c>
      <c r="O504" t="str">
        <f t="shared" si="23"/>
        <v>Normal Merchant Day</v>
      </c>
    </row>
    <row r="505" spans="1:15" x14ac:dyDescent="0.3">
      <c r="A505" t="s">
        <v>572</v>
      </c>
      <c r="B505">
        <v>354</v>
      </c>
      <c r="C505">
        <v>13</v>
      </c>
      <c r="D505" s="1">
        <v>46043.791666666664</v>
      </c>
      <c r="E505">
        <v>4999</v>
      </c>
      <c r="F505" t="s">
        <v>78</v>
      </c>
      <c r="G505" t="s">
        <v>92</v>
      </c>
      <c r="H505">
        <v>80</v>
      </c>
      <c r="I505" t="str">
        <f>IFERROR(VLOOKUP(C505,Merchants!$A$2:$D$41,2,FALSE),"Merchant not found")</f>
        <v>Merchant_013</v>
      </c>
      <c r="J505" t="str">
        <f>IFERROR(VLOOKUP(C505,Merchants!$A$2:$D$41,3,FALSE),"Merchant not found")</f>
        <v>travel</v>
      </c>
      <c r="K505" t="str">
        <f>IFERROR(VLOOKUP(C505,Merchants!$A$2:$D$41,4,FALSE),"Merchant not found")</f>
        <v>East</v>
      </c>
      <c r="L505" s="2">
        <f>HLOOKUP(F505,Fee_lookup!$A$2:$E$3,2,FALSE)</f>
        <v>1.4999999999999999E-2</v>
      </c>
      <c r="M505" s="6">
        <f t="shared" si="21"/>
        <v>46043</v>
      </c>
      <c r="N505">
        <f t="shared" si="22"/>
        <v>4999</v>
      </c>
      <c r="O505" t="str">
        <f t="shared" si="23"/>
        <v>Normal Merchant Day</v>
      </c>
    </row>
    <row r="506" spans="1:15" x14ac:dyDescent="0.3">
      <c r="A506" t="s">
        <v>573</v>
      </c>
      <c r="B506">
        <v>355</v>
      </c>
      <c r="C506">
        <v>19</v>
      </c>
      <c r="D506" s="1">
        <v>46038.5</v>
      </c>
      <c r="E506">
        <v>4999</v>
      </c>
      <c r="F506" t="s">
        <v>78</v>
      </c>
      <c r="G506" t="s">
        <v>92</v>
      </c>
      <c r="H506">
        <v>100</v>
      </c>
      <c r="I506" t="str">
        <f>IFERROR(VLOOKUP(C506,Merchants!$A$2:$D$41,2,FALSE),"Merchant not found")</f>
        <v>Merchant_019</v>
      </c>
      <c r="J506" t="str">
        <f>IFERROR(VLOOKUP(C506,Merchants!$A$2:$D$41,3,FALSE),"Merchant not found")</f>
        <v>grocery</v>
      </c>
      <c r="K506" t="str">
        <f>IFERROR(VLOOKUP(C506,Merchants!$A$2:$D$41,4,FALSE),"Merchant not found")</f>
        <v>North</v>
      </c>
      <c r="L506" s="2">
        <f>HLOOKUP(F506,Fee_lookup!$A$2:$E$3,2,FALSE)</f>
        <v>1.4999999999999999E-2</v>
      </c>
      <c r="M506" s="6">
        <f t="shared" si="21"/>
        <v>46038</v>
      </c>
      <c r="N506">
        <f t="shared" si="22"/>
        <v>4999</v>
      </c>
      <c r="O506" t="str">
        <f t="shared" si="23"/>
        <v>Normal Merchant Day</v>
      </c>
    </row>
    <row r="507" spans="1:15" x14ac:dyDescent="0.3">
      <c r="A507" t="s">
        <v>574</v>
      </c>
      <c r="B507">
        <v>356</v>
      </c>
      <c r="C507">
        <v>25</v>
      </c>
      <c r="D507" s="1">
        <v>46051.291666666664</v>
      </c>
      <c r="E507">
        <v>2999</v>
      </c>
      <c r="F507" t="s">
        <v>78</v>
      </c>
      <c r="G507" t="s">
        <v>92</v>
      </c>
      <c r="H507">
        <v>96</v>
      </c>
      <c r="I507" t="str">
        <f>IFERROR(VLOOKUP(C507,Merchants!$A$2:$D$41,2,FALSE),"Merchant not found")</f>
        <v>Merchant_025</v>
      </c>
      <c r="J507" t="str">
        <f>IFERROR(VLOOKUP(C507,Merchants!$A$2:$D$41,3,FALSE),"Merchant not found")</f>
        <v>travel</v>
      </c>
      <c r="K507" t="str">
        <f>IFERROR(VLOOKUP(C507,Merchants!$A$2:$D$41,4,FALSE),"Merchant not found")</f>
        <v>South</v>
      </c>
      <c r="L507" s="2">
        <f>HLOOKUP(F507,Fee_lookup!$A$2:$E$3,2,FALSE)</f>
        <v>1.4999999999999999E-2</v>
      </c>
      <c r="M507" s="6">
        <f t="shared" si="21"/>
        <v>46051</v>
      </c>
      <c r="N507">
        <f t="shared" si="22"/>
        <v>3048</v>
      </c>
      <c r="O507" t="str">
        <f t="shared" si="23"/>
        <v>Normal Merchant Day</v>
      </c>
    </row>
    <row r="508" spans="1:15" x14ac:dyDescent="0.3">
      <c r="A508" t="s">
        <v>575</v>
      </c>
      <c r="B508">
        <v>357</v>
      </c>
      <c r="C508">
        <v>37</v>
      </c>
      <c r="D508" s="1">
        <v>46045.458333333336</v>
      </c>
      <c r="E508">
        <v>1999</v>
      </c>
      <c r="F508" t="s">
        <v>78</v>
      </c>
      <c r="G508" t="s">
        <v>92</v>
      </c>
      <c r="H508">
        <v>88</v>
      </c>
      <c r="I508" t="str">
        <f>IFERROR(VLOOKUP(C508,Merchants!$A$2:$D$41,2,FALSE),"Merchant not found")</f>
        <v>Merchant_037</v>
      </c>
      <c r="J508" t="str">
        <f>IFERROR(VLOOKUP(C508,Merchants!$A$2:$D$41,3,FALSE),"Merchant not found")</f>
        <v>entertainment</v>
      </c>
      <c r="K508" t="str">
        <f>IFERROR(VLOOKUP(C508,Merchants!$A$2:$D$41,4,FALSE),"Merchant not found")</f>
        <v>South</v>
      </c>
      <c r="L508" s="2">
        <f>HLOOKUP(F508,Fee_lookup!$A$2:$E$3,2,FALSE)</f>
        <v>1.4999999999999999E-2</v>
      </c>
      <c r="M508" s="6">
        <f t="shared" si="21"/>
        <v>46045</v>
      </c>
      <c r="N508">
        <f t="shared" si="22"/>
        <v>1999</v>
      </c>
      <c r="O508" t="str">
        <f t="shared" si="23"/>
        <v>Normal Merchant Day</v>
      </c>
    </row>
    <row r="509" spans="1:15" x14ac:dyDescent="0.3">
      <c r="A509" t="s">
        <v>576</v>
      </c>
      <c r="B509">
        <v>358</v>
      </c>
      <c r="C509">
        <v>36</v>
      </c>
      <c r="D509" s="1">
        <v>46050.208333333336</v>
      </c>
      <c r="E509">
        <v>999</v>
      </c>
      <c r="F509" t="s">
        <v>78</v>
      </c>
      <c r="G509" t="s">
        <v>92</v>
      </c>
      <c r="H509">
        <v>100</v>
      </c>
      <c r="I509" t="str">
        <f>IFERROR(VLOOKUP(C509,Merchants!$A$2:$D$41,2,FALSE),"Merchant not found")</f>
        <v>Merchant_036</v>
      </c>
      <c r="J509" t="str">
        <f>IFERROR(VLOOKUP(C509,Merchants!$A$2:$D$41,3,FALSE),"Merchant not found")</f>
        <v>entertainment</v>
      </c>
      <c r="K509" t="str">
        <f>IFERROR(VLOOKUP(C509,Merchants!$A$2:$D$41,4,FALSE),"Merchant not found")</f>
        <v>East</v>
      </c>
      <c r="L509" s="2">
        <f>HLOOKUP(F509,Fee_lookup!$A$2:$E$3,2,FALSE)</f>
        <v>1.4999999999999999E-2</v>
      </c>
      <c r="M509" s="6">
        <f t="shared" si="21"/>
        <v>46050</v>
      </c>
      <c r="N509">
        <f t="shared" si="22"/>
        <v>999</v>
      </c>
      <c r="O509" t="str">
        <f t="shared" si="23"/>
        <v>Normal Merchant Day</v>
      </c>
    </row>
    <row r="510" spans="1:15" x14ac:dyDescent="0.3">
      <c r="A510" t="s">
        <v>577</v>
      </c>
      <c r="B510">
        <v>359</v>
      </c>
      <c r="C510">
        <v>29</v>
      </c>
      <c r="D510" s="1">
        <v>46047.916666666664</v>
      </c>
      <c r="E510">
        <v>2999</v>
      </c>
      <c r="F510" t="s">
        <v>78</v>
      </c>
      <c r="G510" t="s">
        <v>92</v>
      </c>
      <c r="H510">
        <v>96</v>
      </c>
      <c r="I510" t="str">
        <f>IFERROR(VLOOKUP(C510,Merchants!$A$2:$D$41,2,FALSE),"Merchant not found")</f>
        <v>Merchant_029</v>
      </c>
      <c r="J510" t="str">
        <f>IFERROR(VLOOKUP(C510,Merchants!$A$2:$D$41,3,FALSE),"Merchant not found")</f>
        <v>ecommerce</v>
      </c>
      <c r="K510" t="str">
        <f>IFERROR(VLOOKUP(C510,Merchants!$A$2:$D$41,4,FALSE),"Merchant not found")</f>
        <v>North</v>
      </c>
      <c r="L510" s="2">
        <f>HLOOKUP(F510,Fee_lookup!$A$2:$E$3,2,FALSE)</f>
        <v>1.4999999999999999E-2</v>
      </c>
      <c r="M510" s="6">
        <f t="shared" si="21"/>
        <v>46047</v>
      </c>
      <c r="N510">
        <f t="shared" si="22"/>
        <v>3896</v>
      </c>
      <c r="O510" t="str">
        <f t="shared" si="23"/>
        <v>Normal Merchant Day</v>
      </c>
    </row>
    <row r="511" spans="1:15" x14ac:dyDescent="0.3">
      <c r="A511" t="s">
        <v>578</v>
      </c>
      <c r="B511">
        <v>360</v>
      </c>
      <c r="C511">
        <v>32</v>
      </c>
      <c r="D511" s="1">
        <v>46035.541666666664</v>
      </c>
      <c r="E511">
        <v>1999</v>
      </c>
      <c r="F511" t="s">
        <v>78</v>
      </c>
      <c r="G511" t="s">
        <v>92</v>
      </c>
      <c r="H511">
        <v>90</v>
      </c>
      <c r="I511" t="str">
        <f>IFERROR(VLOOKUP(C511,Merchants!$A$2:$D$41,2,FALSE),"Merchant not found")</f>
        <v>Merchant_032</v>
      </c>
      <c r="J511" t="str">
        <f>IFERROR(VLOOKUP(C511,Merchants!$A$2:$D$41,3,FALSE),"Merchant not found")</f>
        <v>food_delivery</v>
      </c>
      <c r="K511" t="str">
        <f>IFERROR(VLOOKUP(C511,Merchants!$A$2:$D$41,4,FALSE),"Merchant not found")</f>
        <v>West</v>
      </c>
      <c r="L511" s="2">
        <f>HLOOKUP(F511,Fee_lookup!$A$2:$E$3,2,FALSE)</f>
        <v>1.4999999999999999E-2</v>
      </c>
      <c r="M511" s="6">
        <f t="shared" si="21"/>
        <v>46035</v>
      </c>
      <c r="N511">
        <f t="shared" si="22"/>
        <v>1999</v>
      </c>
      <c r="O511" t="str">
        <f t="shared" si="23"/>
        <v>Normal Merchant Day</v>
      </c>
    </row>
    <row r="512" spans="1:15" x14ac:dyDescent="0.3">
      <c r="A512" t="s">
        <v>579</v>
      </c>
      <c r="B512">
        <v>361</v>
      </c>
      <c r="C512">
        <v>10</v>
      </c>
      <c r="D512" s="1">
        <v>46042.291666666664</v>
      </c>
      <c r="E512">
        <v>4999</v>
      </c>
      <c r="F512" t="s">
        <v>78</v>
      </c>
      <c r="G512" t="s">
        <v>92</v>
      </c>
      <c r="H512">
        <v>95</v>
      </c>
      <c r="I512" t="str">
        <f>IFERROR(VLOOKUP(C512,Merchants!$A$2:$D$41,2,FALSE),"Merchant not found")</f>
        <v>Merchant_010</v>
      </c>
      <c r="J512" t="str">
        <f>IFERROR(VLOOKUP(C512,Merchants!$A$2:$D$41,3,FALSE),"Merchant not found")</f>
        <v>grocery</v>
      </c>
      <c r="K512" t="str">
        <f>IFERROR(VLOOKUP(C512,Merchants!$A$2:$D$41,4,FALSE),"Merchant not found")</f>
        <v>West</v>
      </c>
      <c r="L512" s="2">
        <f>HLOOKUP(F512,Fee_lookup!$A$2:$E$3,2,FALSE)</f>
        <v>1.4999999999999999E-2</v>
      </c>
      <c r="M512" s="6">
        <f t="shared" si="21"/>
        <v>46042</v>
      </c>
      <c r="N512">
        <f t="shared" si="22"/>
        <v>4999</v>
      </c>
      <c r="O512" t="str">
        <f t="shared" si="23"/>
        <v>Normal Merchant Day</v>
      </c>
    </row>
    <row r="513" spans="1:15" x14ac:dyDescent="0.3">
      <c r="A513" t="s">
        <v>580</v>
      </c>
      <c r="B513">
        <v>362</v>
      </c>
      <c r="C513">
        <v>39</v>
      </c>
      <c r="D513" s="1">
        <v>46045.083333333336</v>
      </c>
      <c r="E513">
        <v>4999</v>
      </c>
      <c r="F513" t="s">
        <v>78</v>
      </c>
      <c r="G513" t="s">
        <v>92</v>
      </c>
      <c r="H513">
        <v>88</v>
      </c>
      <c r="I513" t="str">
        <f>IFERROR(VLOOKUP(C513,Merchants!$A$2:$D$41,2,FALSE),"Merchant not found")</f>
        <v>Merchant_039</v>
      </c>
      <c r="J513" t="str">
        <f>IFERROR(VLOOKUP(C513,Merchants!$A$2:$D$41,3,FALSE),"Merchant not found")</f>
        <v>entertainment</v>
      </c>
      <c r="K513" t="str">
        <f>IFERROR(VLOOKUP(C513,Merchants!$A$2:$D$41,4,FALSE),"Merchant not found")</f>
        <v>North</v>
      </c>
      <c r="L513" s="2">
        <f>HLOOKUP(F513,Fee_lookup!$A$2:$E$3,2,FALSE)</f>
        <v>1.4999999999999999E-2</v>
      </c>
      <c r="M513" s="6">
        <f t="shared" si="21"/>
        <v>46045</v>
      </c>
      <c r="N513">
        <f t="shared" si="22"/>
        <v>4999</v>
      </c>
      <c r="O513" t="str">
        <f t="shared" si="23"/>
        <v>Normal Merchant Day</v>
      </c>
    </row>
    <row r="514" spans="1:15" x14ac:dyDescent="0.3">
      <c r="A514" t="s">
        <v>581</v>
      </c>
      <c r="B514">
        <v>363</v>
      </c>
      <c r="C514">
        <v>27</v>
      </c>
      <c r="D514" s="1">
        <v>46045.708333333336</v>
      </c>
      <c r="E514">
        <v>999</v>
      </c>
      <c r="F514" t="s">
        <v>78</v>
      </c>
      <c r="G514" t="s">
        <v>92</v>
      </c>
      <c r="H514">
        <v>95</v>
      </c>
      <c r="I514" t="str">
        <f>IFERROR(VLOOKUP(C514,Merchants!$A$2:$D$41,2,FALSE),"Merchant not found")</f>
        <v>Merchant_027</v>
      </c>
      <c r="J514" t="str">
        <f>IFERROR(VLOOKUP(C514,Merchants!$A$2:$D$41,3,FALSE),"Merchant not found")</f>
        <v>ecommerce</v>
      </c>
      <c r="K514" t="str">
        <f>IFERROR(VLOOKUP(C514,Merchants!$A$2:$D$41,4,FALSE),"Merchant not found")</f>
        <v>North</v>
      </c>
      <c r="L514" s="2">
        <f>HLOOKUP(F514,Fee_lookup!$A$2:$E$3,2,FALSE)</f>
        <v>1.4999999999999999E-2</v>
      </c>
      <c r="M514" s="6">
        <f t="shared" si="21"/>
        <v>46045</v>
      </c>
      <c r="N514">
        <f t="shared" si="22"/>
        <v>3998</v>
      </c>
      <c r="O514" t="str">
        <f t="shared" si="23"/>
        <v>Normal Merchant Day</v>
      </c>
    </row>
    <row r="515" spans="1:15" x14ac:dyDescent="0.3">
      <c r="A515" t="s">
        <v>582</v>
      </c>
      <c r="B515">
        <v>364</v>
      </c>
      <c r="C515">
        <v>39</v>
      </c>
      <c r="D515" s="1">
        <v>46044.916666666664</v>
      </c>
      <c r="E515">
        <v>999</v>
      </c>
      <c r="F515" t="s">
        <v>78</v>
      </c>
      <c r="G515" t="s">
        <v>92</v>
      </c>
      <c r="H515">
        <v>73</v>
      </c>
      <c r="I515" t="str">
        <f>IFERROR(VLOOKUP(C515,Merchants!$A$2:$D$41,2,FALSE),"Merchant not found")</f>
        <v>Merchant_039</v>
      </c>
      <c r="J515" t="str">
        <f>IFERROR(VLOOKUP(C515,Merchants!$A$2:$D$41,3,FALSE),"Merchant not found")</f>
        <v>entertainment</v>
      </c>
      <c r="K515" t="str">
        <f>IFERROR(VLOOKUP(C515,Merchants!$A$2:$D$41,4,FALSE),"Merchant not found")</f>
        <v>North</v>
      </c>
      <c r="L515" s="2">
        <f>HLOOKUP(F515,Fee_lookup!$A$2:$E$3,2,FALSE)</f>
        <v>1.4999999999999999E-2</v>
      </c>
      <c r="M515" s="6">
        <f t="shared" ref="M515:M548" si="24">INT(D515)</f>
        <v>46044</v>
      </c>
      <c r="N515">
        <f t="shared" ref="N515:N548" si="25">SUMIFS($E:$E,$C:$C,C515,$M:$M,M515)</f>
        <v>9796</v>
      </c>
      <c r="O515" t="str">
        <f t="shared" ref="O515:O548" si="26">IF(AND(N515&gt;5000,K515&lt;&gt;"East"),"High-Value Merchant Day","Normal Merchant Day")</f>
        <v>High-Value Merchant Day</v>
      </c>
    </row>
    <row r="516" spans="1:15" x14ac:dyDescent="0.3">
      <c r="A516" t="s">
        <v>583</v>
      </c>
      <c r="B516">
        <v>365</v>
      </c>
      <c r="C516">
        <v>23</v>
      </c>
      <c r="D516" s="1">
        <v>46040.875</v>
      </c>
      <c r="E516">
        <v>1999</v>
      </c>
      <c r="F516" t="s">
        <v>78</v>
      </c>
      <c r="G516" t="s">
        <v>92</v>
      </c>
      <c r="H516">
        <v>90</v>
      </c>
      <c r="I516" t="str">
        <f>IFERROR(VLOOKUP(C516,Merchants!$A$2:$D$41,2,FALSE),"Merchant not found")</f>
        <v>Merchant_023</v>
      </c>
      <c r="J516" t="str">
        <f>IFERROR(VLOOKUP(C516,Merchants!$A$2:$D$41,3,FALSE),"Merchant not found")</f>
        <v>travel</v>
      </c>
      <c r="K516" t="str">
        <f>IFERROR(VLOOKUP(C516,Merchants!$A$2:$D$41,4,FALSE),"Merchant not found")</f>
        <v>North</v>
      </c>
      <c r="L516" s="2">
        <f>HLOOKUP(F516,Fee_lookup!$A$2:$E$3,2,FALSE)</f>
        <v>1.4999999999999999E-2</v>
      </c>
      <c r="M516" s="6">
        <f t="shared" si="24"/>
        <v>46040</v>
      </c>
      <c r="N516">
        <f t="shared" si="25"/>
        <v>1999</v>
      </c>
      <c r="O516" t="str">
        <f t="shared" si="26"/>
        <v>Normal Merchant Day</v>
      </c>
    </row>
    <row r="517" spans="1:15" x14ac:dyDescent="0.3">
      <c r="A517" t="s">
        <v>584</v>
      </c>
      <c r="B517">
        <v>314</v>
      </c>
      <c r="C517">
        <v>26</v>
      </c>
      <c r="D517" s="1">
        <v>46024.75</v>
      </c>
      <c r="E517">
        <v>399</v>
      </c>
      <c r="F517" t="s">
        <v>78</v>
      </c>
      <c r="G517" t="s">
        <v>79</v>
      </c>
      <c r="H517">
        <v>87</v>
      </c>
      <c r="I517" t="str">
        <f>IFERROR(VLOOKUP(C517,Merchants!$A$2:$D$41,2,FALSE),"Merchant not found")</f>
        <v>Merchant_026</v>
      </c>
      <c r="J517" t="str">
        <f>IFERROR(VLOOKUP(C517,Merchants!$A$2:$D$41,3,FALSE),"Merchant not found")</f>
        <v>food_delivery</v>
      </c>
      <c r="K517" t="str">
        <f>IFERROR(VLOOKUP(C517,Merchants!$A$2:$D$41,4,FALSE),"Merchant not found")</f>
        <v>East</v>
      </c>
      <c r="L517" s="2">
        <f>HLOOKUP(F517,Fee_lookup!$A$2:$E$3,2,FALSE)</f>
        <v>1.4999999999999999E-2</v>
      </c>
      <c r="M517" s="6">
        <f t="shared" si="24"/>
        <v>46024</v>
      </c>
      <c r="N517">
        <f t="shared" si="25"/>
        <v>399</v>
      </c>
      <c r="O517" t="str">
        <f t="shared" si="26"/>
        <v>Normal Merchant Day</v>
      </c>
    </row>
    <row r="518" spans="1:15" x14ac:dyDescent="0.3">
      <c r="A518" t="s">
        <v>585</v>
      </c>
      <c r="B518">
        <v>314</v>
      </c>
      <c r="C518">
        <v>7</v>
      </c>
      <c r="D518" s="1">
        <v>46024.750694444447</v>
      </c>
      <c r="E518">
        <v>299</v>
      </c>
      <c r="F518" t="s">
        <v>78</v>
      </c>
      <c r="G518" t="s">
        <v>79</v>
      </c>
      <c r="H518">
        <v>66</v>
      </c>
      <c r="I518" t="str">
        <f>IFERROR(VLOOKUP(C518,Merchants!$A$2:$D$41,2,FALSE),"Merchant not found")</f>
        <v>Merchant_007</v>
      </c>
      <c r="J518" t="str">
        <f>IFERROR(VLOOKUP(C518,Merchants!$A$2:$D$41,3,FALSE),"Merchant not found")</f>
        <v>food_delivery</v>
      </c>
      <c r="K518" t="str">
        <f>IFERROR(VLOOKUP(C518,Merchants!$A$2:$D$41,4,FALSE),"Merchant not found")</f>
        <v>East</v>
      </c>
      <c r="L518" s="2">
        <f>HLOOKUP(F518,Fee_lookup!$A$2:$E$3,2,FALSE)</f>
        <v>1.4999999999999999E-2</v>
      </c>
      <c r="M518" s="6">
        <f t="shared" si="24"/>
        <v>46024</v>
      </c>
      <c r="N518">
        <f t="shared" si="25"/>
        <v>3797</v>
      </c>
      <c r="O518" t="str">
        <f t="shared" si="26"/>
        <v>Normal Merchant Day</v>
      </c>
    </row>
    <row r="519" spans="1:15" x14ac:dyDescent="0.3">
      <c r="A519" t="s">
        <v>586</v>
      </c>
      <c r="B519">
        <v>314</v>
      </c>
      <c r="C519">
        <v>17</v>
      </c>
      <c r="D519" s="1">
        <v>46024.751388888886</v>
      </c>
      <c r="E519">
        <v>299</v>
      </c>
      <c r="F519" t="s">
        <v>78</v>
      </c>
      <c r="G519" t="s">
        <v>79</v>
      </c>
      <c r="H519">
        <v>92</v>
      </c>
      <c r="I519" t="str">
        <f>IFERROR(VLOOKUP(C519,Merchants!$A$2:$D$41,2,FALSE),"Merchant not found")</f>
        <v>Merchant_017</v>
      </c>
      <c r="J519" t="str">
        <f>IFERROR(VLOOKUP(C519,Merchants!$A$2:$D$41,3,FALSE),"Merchant not found")</f>
        <v>grocery</v>
      </c>
      <c r="K519" t="str">
        <f>IFERROR(VLOOKUP(C519,Merchants!$A$2:$D$41,4,FALSE),"Merchant not found")</f>
        <v>North</v>
      </c>
      <c r="L519" s="2">
        <f>HLOOKUP(F519,Fee_lookup!$A$2:$E$3,2,FALSE)</f>
        <v>1.4999999999999999E-2</v>
      </c>
      <c r="M519" s="6">
        <f t="shared" si="24"/>
        <v>46024</v>
      </c>
      <c r="N519">
        <f t="shared" si="25"/>
        <v>299</v>
      </c>
      <c r="O519" t="str">
        <f t="shared" si="26"/>
        <v>Normal Merchant Day</v>
      </c>
    </row>
    <row r="520" spans="1:15" x14ac:dyDescent="0.3">
      <c r="A520" t="s">
        <v>587</v>
      </c>
      <c r="B520">
        <v>314</v>
      </c>
      <c r="C520">
        <v>34</v>
      </c>
      <c r="D520" s="1">
        <v>46024.752083333333</v>
      </c>
      <c r="E520">
        <v>499</v>
      </c>
      <c r="F520" t="s">
        <v>78</v>
      </c>
      <c r="G520" t="s">
        <v>64</v>
      </c>
      <c r="H520">
        <v>74</v>
      </c>
      <c r="I520" t="str">
        <f>IFERROR(VLOOKUP(C520,Merchants!$A$2:$D$41,2,FALSE),"Merchant not found")</f>
        <v>Merchant_034</v>
      </c>
      <c r="J520" t="str">
        <f>IFERROR(VLOOKUP(C520,Merchants!$A$2:$D$41,3,FALSE),"Merchant not found")</f>
        <v>travel</v>
      </c>
      <c r="K520" t="str">
        <f>IFERROR(VLOOKUP(C520,Merchants!$A$2:$D$41,4,FALSE),"Merchant not found")</f>
        <v>South</v>
      </c>
      <c r="L520" s="2">
        <f>HLOOKUP(F520,Fee_lookup!$A$2:$E$3,2,FALSE)</f>
        <v>1.4999999999999999E-2</v>
      </c>
      <c r="M520" s="6">
        <f t="shared" si="24"/>
        <v>46024</v>
      </c>
      <c r="N520">
        <f t="shared" si="25"/>
        <v>548</v>
      </c>
      <c r="O520" t="str">
        <f t="shared" si="26"/>
        <v>Normal Merchant Day</v>
      </c>
    </row>
    <row r="521" spans="1:15" x14ac:dyDescent="0.3">
      <c r="A521" t="s">
        <v>588</v>
      </c>
      <c r="B521">
        <v>229</v>
      </c>
      <c r="C521">
        <v>30</v>
      </c>
      <c r="D521" s="1">
        <v>46034.5</v>
      </c>
      <c r="E521">
        <v>499</v>
      </c>
      <c r="F521" t="s">
        <v>78</v>
      </c>
      <c r="G521" t="s">
        <v>79</v>
      </c>
      <c r="H521">
        <v>92</v>
      </c>
      <c r="I521" t="str">
        <f>IFERROR(VLOOKUP(C521,Merchants!$A$2:$D$41,2,FALSE),"Merchant not found")</f>
        <v>Merchant_030</v>
      </c>
      <c r="J521" t="str">
        <f>IFERROR(VLOOKUP(C521,Merchants!$A$2:$D$41,3,FALSE),"Merchant not found")</f>
        <v>travel</v>
      </c>
      <c r="K521" t="str">
        <f>IFERROR(VLOOKUP(C521,Merchants!$A$2:$D$41,4,FALSE),"Merchant not found")</f>
        <v>West</v>
      </c>
      <c r="L521" s="2">
        <f>HLOOKUP(F521,Fee_lookup!$A$2:$E$3,2,FALSE)</f>
        <v>1.4999999999999999E-2</v>
      </c>
      <c r="M521" s="6">
        <f t="shared" si="24"/>
        <v>46034</v>
      </c>
      <c r="N521">
        <f t="shared" si="25"/>
        <v>499</v>
      </c>
      <c r="O521" t="str">
        <f t="shared" si="26"/>
        <v>Normal Merchant Day</v>
      </c>
    </row>
    <row r="522" spans="1:15" x14ac:dyDescent="0.3">
      <c r="A522" t="s">
        <v>589</v>
      </c>
      <c r="B522">
        <v>229</v>
      </c>
      <c r="C522">
        <v>10</v>
      </c>
      <c r="D522" s="1">
        <v>46034.500694444447</v>
      </c>
      <c r="E522">
        <v>399</v>
      </c>
      <c r="F522" t="s">
        <v>78</v>
      </c>
      <c r="G522" t="s">
        <v>79</v>
      </c>
      <c r="H522">
        <v>61</v>
      </c>
      <c r="I522" t="str">
        <f>IFERROR(VLOOKUP(C522,Merchants!$A$2:$D$41,2,FALSE),"Merchant not found")</f>
        <v>Merchant_010</v>
      </c>
      <c r="J522" t="str">
        <f>IFERROR(VLOOKUP(C522,Merchants!$A$2:$D$41,3,FALSE),"Merchant not found")</f>
        <v>grocery</v>
      </c>
      <c r="K522" t="str">
        <f>IFERROR(VLOOKUP(C522,Merchants!$A$2:$D$41,4,FALSE),"Merchant not found")</f>
        <v>West</v>
      </c>
      <c r="L522" s="2">
        <f>HLOOKUP(F522,Fee_lookup!$A$2:$E$3,2,FALSE)</f>
        <v>1.4999999999999999E-2</v>
      </c>
      <c r="M522" s="6">
        <f t="shared" si="24"/>
        <v>46034</v>
      </c>
      <c r="N522">
        <f t="shared" si="25"/>
        <v>399</v>
      </c>
      <c r="O522" t="str">
        <f t="shared" si="26"/>
        <v>Normal Merchant Day</v>
      </c>
    </row>
    <row r="523" spans="1:15" x14ac:dyDescent="0.3">
      <c r="A523" t="s">
        <v>590</v>
      </c>
      <c r="B523">
        <v>229</v>
      </c>
      <c r="C523">
        <v>31</v>
      </c>
      <c r="D523" s="1">
        <v>46034.501388888886</v>
      </c>
      <c r="E523">
        <v>299</v>
      </c>
      <c r="F523" t="s">
        <v>78</v>
      </c>
      <c r="G523" t="s">
        <v>79</v>
      </c>
      <c r="H523">
        <v>78</v>
      </c>
      <c r="I523" t="str">
        <f>IFERROR(VLOOKUP(C523,Merchants!$A$2:$D$41,2,FALSE),"Merchant not found")</f>
        <v>Merchant_031</v>
      </c>
      <c r="J523" t="str">
        <f>IFERROR(VLOOKUP(C523,Merchants!$A$2:$D$41,3,FALSE),"Merchant not found")</f>
        <v>bill_payment</v>
      </c>
      <c r="K523" t="str">
        <f>IFERROR(VLOOKUP(C523,Merchants!$A$2:$D$41,4,FALSE),"Merchant not found")</f>
        <v>East</v>
      </c>
      <c r="L523" s="2">
        <f>HLOOKUP(F523,Fee_lookup!$A$2:$E$3,2,FALSE)</f>
        <v>1.4999999999999999E-2</v>
      </c>
      <c r="M523" s="6">
        <f t="shared" si="24"/>
        <v>46034</v>
      </c>
      <c r="N523">
        <f t="shared" si="25"/>
        <v>598</v>
      </c>
      <c r="O523" t="str">
        <f t="shared" si="26"/>
        <v>Normal Merchant Day</v>
      </c>
    </row>
    <row r="524" spans="1:15" x14ac:dyDescent="0.3">
      <c r="A524" t="s">
        <v>591</v>
      </c>
      <c r="B524">
        <v>229</v>
      </c>
      <c r="C524">
        <v>27</v>
      </c>
      <c r="D524" s="1">
        <v>46034.502083333333</v>
      </c>
      <c r="E524">
        <v>299</v>
      </c>
      <c r="F524" t="s">
        <v>78</v>
      </c>
      <c r="G524" t="s">
        <v>64</v>
      </c>
      <c r="H524">
        <v>67</v>
      </c>
      <c r="I524" t="str">
        <f>IFERROR(VLOOKUP(C524,Merchants!$A$2:$D$41,2,FALSE),"Merchant not found")</f>
        <v>Merchant_027</v>
      </c>
      <c r="J524" t="str">
        <f>IFERROR(VLOOKUP(C524,Merchants!$A$2:$D$41,3,FALSE),"Merchant not found")</f>
        <v>ecommerce</v>
      </c>
      <c r="K524" t="str">
        <f>IFERROR(VLOOKUP(C524,Merchants!$A$2:$D$41,4,FALSE),"Merchant not found")</f>
        <v>North</v>
      </c>
      <c r="L524" s="2">
        <f>HLOOKUP(F524,Fee_lookup!$A$2:$E$3,2,FALSE)</f>
        <v>1.4999999999999999E-2</v>
      </c>
      <c r="M524" s="6">
        <f t="shared" si="24"/>
        <v>46034</v>
      </c>
      <c r="N524">
        <f t="shared" si="25"/>
        <v>299</v>
      </c>
      <c r="O524" t="str">
        <f t="shared" si="26"/>
        <v>Normal Merchant Day</v>
      </c>
    </row>
    <row r="525" spans="1:15" x14ac:dyDescent="0.3">
      <c r="A525" t="s">
        <v>592</v>
      </c>
      <c r="B525">
        <v>73</v>
      </c>
      <c r="C525">
        <v>22</v>
      </c>
      <c r="D525" s="1">
        <v>46034.375</v>
      </c>
      <c r="E525">
        <v>399</v>
      </c>
      <c r="F525" t="s">
        <v>78</v>
      </c>
      <c r="G525" t="s">
        <v>79</v>
      </c>
      <c r="H525">
        <v>73</v>
      </c>
      <c r="I525" t="str">
        <f>IFERROR(VLOOKUP(C525,Merchants!$A$2:$D$41,2,FALSE),"Merchant not found")</f>
        <v>Merchant_022</v>
      </c>
      <c r="J525" t="str">
        <f>IFERROR(VLOOKUP(C525,Merchants!$A$2:$D$41,3,FALSE),"Merchant not found")</f>
        <v>travel</v>
      </c>
      <c r="K525" t="str">
        <f>IFERROR(VLOOKUP(C525,Merchants!$A$2:$D$41,4,FALSE),"Merchant not found")</f>
        <v>South</v>
      </c>
      <c r="L525" s="2">
        <f>HLOOKUP(F525,Fee_lookup!$A$2:$E$3,2,FALSE)</f>
        <v>1.4999999999999999E-2</v>
      </c>
      <c r="M525" s="6">
        <f t="shared" si="24"/>
        <v>46034</v>
      </c>
      <c r="N525">
        <f t="shared" si="25"/>
        <v>1697</v>
      </c>
      <c r="O525" t="str">
        <f t="shared" si="26"/>
        <v>Normal Merchant Day</v>
      </c>
    </row>
    <row r="526" spans="1:15" x14ac:dyDescent="0.3">
      <c r="A526" t="s">
        <v>593</v>
      </c>
      <c r="B526">
        <v>73</v>
      </c>
      <c r="C526">
        <v>34</v>
      </c>
      <c r="D526" s="1">
        <v>46034.375694444447</v>
      </c>
      <c r="E526">
        <v>399</v>
      </c>
      <c r="F526" t="s">
        <v>78</v>
      </c>
      <c r="G526" t="s">
        <v>79</v>
      </c>
      <c r="H526">
        <v>82</v>
      </c>
      <c r="I526" t="str">
        <f>IFERROR(VLOOKUP(C526,Merchants!$A$2:$D$41,2,FALSE),"Merchant not found")</f>
        <v>Merchant_034</v>
      </c>
      <c r="J526" t="str">
        <f>IFERROR(VLOOKUP(C526,Merchants!$A$2:$D$41,3,FALSE),"Merchant not found")</f>
        <v>travel</v>
      </c>
      <c r="K526" t="str">
        <f>IFERROR(VLOOKUP(C526,Merchants!$A$2:$D$41,4,FALSE),"Merchant not found")</f>
        <v>South</v>
      </c>
      <c r="L526" s="2">
        <f>HLOOKUP(F526,Fee_lookup!$A$2:$E$3,2,FALSE)</f>
        <v>1.4999999999999999E-2</v>
      </c>
      <c r="M526" s="6">
        <f t="shared" si="24"/>
        <v>46034</v>
      </c>
      <c r="N526">
        <f t="shared" si="25"/>
        <v>399</v>
      </c>
      <c r="O526" t="str">
        <f t="shared" si="26"/>
        <v>Normal Merchant Day</v>
      </c>
    </row>
    <row r="527" spans="1:15" x14ac:dyDescent="0.3">
      <c r="A527" t="s">
        <v>594</v>
      </c>
      <c r="B527">
        <v>73</v>
      </c>
      <c r="C527">
        <v>31</v>
      </c>
      <c r="D527" s="1">
        <v>46034.376388888886</v>
      </c>
      <c r="E527">
        <v>299</v>
      </c>
      <c r="F527" t="s">
        <v>78</v>
      </c>
      <c r="G527" t="s">
        <v>79</v>
      </c>
      <c r="H527">
        <v>88</v>
      </c>
      <c r="I527" t="str">
        <f>IFERROR(VLOOKUP(C527,Merchants!$A$2:$D$41,2,FALSE),"Merchant not found")</f>
        <v>Merchant_031</v>
      </c>
      <c r="J527" t="str">
        <f>IFERROR(VLOOKUP(C527,Merchants!$A$2:$D$41,3,FALSE),"Merchant not found")</f>
        <v>bill_payment</v>
      </c>
      <c r="K527" t="str">
        <f>IFERROR(VLOOKUP(C527,Merchants!$A$2:$D$41,4,FALSE),"Merchant not found")</f>
        <v>East</v>
      </c>
      <c r="L527" s="2">
        <f>HLOOKUP(F527,Fee_lookup!$A$2:$E$3,2,FALSE)</f>
        <v>1.4999999999999999E-2</v>
      </c>
      <c r="M527" s="6">
        <f t="shared" si="24"/>
        <v>46034</v>
      </c>
      <c r="N527">
        <f t="shared" si="25"/>
        <v>598</v>
      </c>
      <c r="O527" t="str">
        <f t="shared" si="26"/>
        <v>Normal Merchant Day</v>
      </c>
    </row>
    <row r="528" spans="1:15" x14ac:dyDescent="0.3">
      <c r="A528" t="s">
        <v>595</v>
      </c>
      <c r="B528">
        <v>73</v>
      </c>
      <c r="C528">
        <v>29</v>
      </c>
      <c r="D528" s="1">
        <v>46034.377083333333</v>
      </c>
      <c r="E528">
        <v>399</v>
      </c>
      <c r="F528" t="s">
        <v>78</v>
      </c>
      <c r="G528" t="s">
        <v>64</v>
      </c>
      <c r="H528">
        <v>64</v>
      </c>
      <c r="I528" t="str">
        <f>IFERROR(VLOOKUP(C528,Merchants!$A$2:$D$41,2,FALSE),"Merchant not found")</f>
        <v>Merchant_029</v>
      </c>
      <c r="J528" t="str">
        <f>IFERROR(VLOOKUP(C528,Merchants!$A$2:$D$41,3,FALSE),"Merchant not found")</f>
        <v>ecommerce</v>
      </c>
      <c r="K528" t="str">
        <f>IFERROR(VLOOKUP(C528,Merchants!$A$2:$D$41,4,FALSE),"Merchant not found")</f>
        <v>North</v>
      </c>
      <c r="L528" s="2">
        <f>HLOOKUP(F528,Fee_lookup!$A$2:$E$3,2,FALSE)</f>
        <v>1.4999999999999999E-2</v>
      </c>
      <c r="M528" s="6">
        <f t="shared" si="24"/>
        <v>46034</v>
      </c>
      <c r="N528">
        <f t="shared" si="25"/>
        <v>399</v>
      </c>
      <c r="O528" t="str">
        <f t="shared" si="26"/>
        <v>Normal Merchant Day</v>
      </c>
    </row>
    <row r="529" spans="1:15" x14ac:dyDescent="0.3">
      <c r="A529" t="s">
        <v>596</v>
      </c>
      <c r="B529">
        <v>154</v>
      </c>
      <c r="C529">
        <v>8</v>
      </c>
      <c r="D529" s="1">
        <v>46024.916666666664</v>
      </c>
      <c r="E529">
        <v>299</v>
      </c>
      <c r="F529" t="s">
        <v>78</v>
      </c>
      <c r="G529" t="s">
        <v>79</v>
      </c>
      <c r="H529">
        <v>81</v>
      </c>
      <c r="I529" t="str">
        <f>IFERROR(VLOOKUP(C529,Merchants!$A$2:$D$41,2,FALSE),"Merchant not found")</f>
        <v>Merchant_008</v>
      </c>
      <c r="J529" t="str">
        <f>IFERROR(VLOOKUP(C529,Merchants!$A$2:$D$41,3,FALSE),"Merchant not found")</f>
        <v>food_delivery</v>
      </c>
      <c r="K529" t="str">
        <f>IFERROR(VLOOKUP(C529,Merchants!$A$2:$D$41,4,FALSE),"Merchant not found")</f>
        <v>North</v>
      </c>
      <c r="L529" s="2">
        <f>HLOOKUP(F529,Fee_lookup!$A$2:$E$3,2,FALSE)</f>
        <v>1.4999999999999999E-2</v>
      </c>
      <c r="M529" s="6">
        <f t="shared" si="24"/>
        <v>46024</v>
      </c>
      <c r="N529">
        <f t="shared" si="25"/>
        <v>299</v>
      </c>
      <c r="O529" t="str">
        <f t="shared" si="26"/>
        <v>Normal Merchant Day</v>
      </c>
    </row>
    <row r="530" spans="1:15" x14ac:dyDescent="0.3">
      <c r="A530" t="s">
        <v>597</v>
      </c>
      <c r="B530">
        <v>154</v>
      </c>
      <c r="C530">
        <v>7</v>
      </c>
      <c r="D530" s="1">
        <v>46024.917361111111</v>
      </c>
      <c r="E530">
        <v>499</v>
      </c>
      <c r="F530" t="s">
        <v>78</v>
      </c>
      <c r="G530" t="s">
        <v>79</v>
      </c>
      <c r="H530">
        <v>70</v>
      </c>
      <c r="I530" t="str">
        <f>IFERROR(VLOOKUP(C530,Merchants!$A$2:$D$41,2,FALSE),"Merchant not found")</f>
        <v>Merchant_007</v>
      </c>
      <c r="J530" t="str">
        <f>IFERROR(VLOOKUP(C530,Merchants!$A$2:$D$41,3,FALSE),"Merchant not found")</f>
        <v>food_delivery</v>
      </c>
      <c r="K530" t="str">
        <f>IFERROR(VLOOKUP(C530,Merchants!$A$2:$D$41,4,FALSE),"Merchant not found")</f>
        <v>East</v>
      </c>
      <c r="L530" s="2">
        <f>HLOOKUP(F530,Fee_lookup!$A$2:$E$3,2,FALSE)</f>
        <v>1.4999999999999999E-2</v>
      </c>
      <c r="M530" s="6">
        <f t="shared" si="24"/>
        <v>46024</v>
      </c>
      <c r="N530">
        <f t="shared" si="25"/>
        <v>3797</v>
      </c>
      <c r="O530" t="str">
        <f t="shared" si="26"/>
        <v>Normal Merchant Day</v>
      </c>
    </row>
    <row r="531" spans="1:15" x14ac:dyDescent="0.3">
      <c r="A531" t="s">
        <v>598</v>
      </c>
      <c r="B531">
        <v>154</v>
      </c>
      <c r="C531">
        <v>16</v>
      </c>
      <c r="D531" s="1">
        <v>46024.918055555558</v>
      </c>
      <c r="E531">
        <v>499</v>
      </c>
      <c r="F531" t="s">
        <v>78</v>
      </c>
      <c r="G531" t="s">
        <v>79</v>
      </c>
      <c r="H531">
        <v>71</v>
      </c>
      <c r="I531" t="str">
        <f>IFERROR(VLOOKUP(C531,Merchants!$A$2:$D$41,2,FALSE),"Merchant not found")</f>
        <v>Merchant_016</v>
      </c>
      <c r="J531" t="str">
        <f>IFERROR(VLOOKUP(C531,Merchants!$A$2:$D$41,3,FALSE),"Merchant not found")</f>
        <v>bill_payment</v>
      </c>
      <c r="K531" t="str">
        <f>IFERROR(VLOOKUP(C531,Merchants!$A$2:$D$41,4,FALSE),"Merchant not found")</f>
        <v>West</v>
      </c>
      <c r="L531" s="2">
        <f>HLOOKUP(F531,Fee_lookup!$A$2:$E$3,2,FALSE)</f>
        <v>1.4999999999999999E-2</v>
      </c>
      <c r="M531" s="6">
        <f t="shared" si="24"/>
        <v>46024</v>
      </c>
      <c r="N531">
        <f t="shared" si="25"/>
        <v>499</v>
      </c>
      <c r="O531" t="str">
        <f t="shared" si="26"/>
        <v>Normal Merchant Day</v>
      </c>
    </row>
    <row r="532" spans="1:15" x14ac:dyDescent="0.3">
      <c r="A532" t="s">
        <v>599</v>
      </c>
      <c r="B532">
        <v>154</v>
      </c>
      <c r="C532">
        <v>36</v>
      </c>
      <c r="D532" s="1">
        <v>46024.918749999997</v>
      </c>
      <c r="E532">
        <v>299</v>
      </c>
      <c r="F532" t="s">
        <v>78</v>
      </c>
      <c r="G532" t="s">
        <v>64</v>
      </c>
      <c r="H532">
        <v>81</v>
      </c>
      <c r="I532" t="str">
        <f>IFERROR(VLOOKUP(C532,Merchants!$A$2:$D$41,2,FALSE),"Merchant not found")</f>
        <v>Merchant_036</v>
      </c>
      <c r="J532" t="str">
        <f>IFERROR(VLOOKUP(C532,Merchants!$A$2:$D$41,3,FALSE),"Merchant not found")</f>
        <v>entertainment</v>
      </c>
      <c r="K532" t="str">
        <f>IFERROR(VLOOKUP(C532,Merchants!$A$2:$D$41,4,FALSE),"Merchant not found")</f>
        <v>East</v>
      </c>
      <c r="L532" s="2">
        <f>HLOOKUP(F532,Fee_lookup!$A$2:$E$3,2,FALSE)</f>
        <v>1.4999999999999999E-2</v>
      </c>
      <c r="M532" s="6">
        <f t="shared" si="24"/>
        <v>46024</v>
      </c>
      <c r="N532">
        <f t="shared" si="25"/>
        <v>299</v>
      </c>
      <c r="O532" t="str">
        <f t="shared" si="26"/>
        <v>Normal Merchant Day</v>
      </c>
    </row>
    <row r="533" spans="1:15" x14ac:dyDescent="0.3">
      <c r="A533" t="s">
        <v>600</v>
      </c>
      <c r="B533">
        <v>287</v>
      </c>
      <c r="C533">
        <v>15</v>
      </c>
      <c r="D533" s="1">
        <v>46036.583333333336</v>
      </c>
      <c r="E533">
        <v>399</v>
      </c>
      <c r="F533" t="s">
        <v>78</v>
      </c>
      <c r="G533" t="s">
        <v>79</v>
      </c>
      <c r="H533">
        <v>71</v>
      </c>
      <c r="I533" t="str">
        <f>IFERROR(VLOOKUP(C533,Merchants!$A$2:$D$41,2,FALSE),"Merchant not found")</f>
        <v>Merchant_015</v>
      </c>
      <c r="J533" t="str">
        <f>IFERROR(VLOOKUP(C533,Merchants!$A$2:$D$41,3,FALSE),"Merchant not found")</f>
        <v>travel</v>
      </c>
      <c r="K533" t="str">
        <f>IFERROR(VLOOKUP(C533,Merchants!$A$2:$D$41,4,FALSE),"Merchant not found")</f>
        <v>North</v>
      </c>
      <c r="L533" s="2">
        <f>HLOOKUP(F533,Fee_lookup!$A$2:$E$3,2,FALSE)</f>
        <v>1.4999999999999999E-2</v>
      </c>
      <c r="M533" s="6">
        <f t="shared" si="24"/>
        <v>46036</v>
      </c>
      <c r="N533">
        <f t="shared" si="25"/>
        <v>399</v>
      </c>
      <c r="O533" t="str">
        <f t="shared" si="26"/>
        <v>Normal Merchant Day</v>
      </c>
    </row>
    <row r="534" spans="1:15" x14ac:dyDescent="0.3">
      <c r="A534" t="s">
        <v>601</v>
      </c>
      <c r="B534">
        <v>287</v>
      </c>
      <c r="C534">
        <v>12</v>
      </c>
      <c r="D534" s="1">
        <v>46036.584027777775</v>
      </c>
      <c r="E534">
        <v>499</v>
      </c>
      <c r="F534" t="s">
        <v>78</v>
      </c>
      <c r="G534" t="s">
        <v>79</v>
      </c>
      <c r="H534">
        <v>87</v>
      </c>
      <c r="I534" t="str">
        <f>IFERROR(VLOOKUP(C534,Merchants!$A$2:$D$41,2,FALSE),"Merchant not found")</f>
        <v>Merchant_012</v>
      </c>
      <c r="J534" t="str">
        <f>IFERROR(VLOOKUP(C534,Merchants!$A$2:$D$41,3,FALSE),"Merchant not found")</f>
        <v>ecommerce</v>
      </c>
      <c r="K534" t="str">
        <f>IFERROR(VLOOKUP(C534,Merchants!$A$2:$D$41,4,FALSE),"Merchant not found")</f>
        <v>East</v>
      </c>
      <c r="L534" s="2">
        <f>HLOOKUP(F534,Fee_lookup!$A$2:$E$3,2,FALSE)</f>
        <v>1.4999999999999999E-2</v>
      </c>
      <c r="M534" s="6">
        <f t="shared" si="24"/>
        <v>46036</v>
      </c>
      <c r="N534">
        <f t="shared" si="25"/>
        <v>548</v>
      </c>
      <c r="O534" t="str">
        <f t="shared" si="26"/>
        <v>Normal Merchant Day</v>
      </c>
    </row>
    <row r="535" spans="1:15" x14ac:dyDescent="0.3">
      <c r="A535" t="s">
        <v>602</v>
      </c>
      <c r="B535">
        <v>287</v>
      </c>
      <c r="C535">
        <v>26</v>
      </c>
      <c r="D535" s="1">
        <v>46036.584722222222</v>
      </c>
      <c r="E535">
        <v>299</v>
      </c>
      <c r="F535" t="s">
        <v>78</v>
      </c>
      <c r="G535" t="s">
        <v>79</v>
      </c>
      <c r="H535">
        <v>72</v>
      </c>
      <c r="I535" t="str">
        <f>IFERROR(VLOOKUP(C535,Merchants!$A$2:$D$41,2,FALSE),"Merchant not found")</f>
        <v>Merchant_026</v>
      </c>
      <c r="J535" t="str">
        <f>IFERROR(VLOOKUP(C535,Merchants!$A$2:$D$41,3,FALSE),"Merchant not found")</f>
        <v>food_delivery</v>
      </c>
      <c r="K535" t="str">
        <f>IFERROR(VLOOKUP(C535,Merchants!$A$2:$D$41,4,FALSE),"Merchant not found")</f>
        <v>East</v>
      </c>
      <c r="L535" s="2">
        <f>HLOOKUP(F535,Fee_lookup!$A$2:$E$3,2,FALSE)</f>
        <v>1.4999999999999999E-2</v>
      </c>
      <c r="M535" s="6">
        <f t="shared" si="24"/>
        <v>46036</v>
      </c>
      <c r="N535">
        <f t="shared" si="25"/>
        <v>299</v>
      </c>
      <c r="O535" t="str">
        <f t="shared" si="26"/>
        <v>Normal Merchant Day</v>
      </c>
    </row>
    <row r="536" spans="1:15" x14ac:dyDescent="0.3">
      <c r="A536" t="s">
        <v>603</v>
      </c>
      <c r="B536">
        <v>287</v>
      </c>
      <c r="C536">
        <v>29</v>
      </c>
      <c r="D536" s="1">
        <v>46036.585416666669</v>
      </c>
      <c r="E536">
        <v>499</v>
      </c>
      <c r="F536" t="s">
        <v>78</v>
      </c>
      <c r="G536" t="s">
        <v>64</v>
      </c>
      <c r="H536">
        <v>87</v>
      </c>
      <c r="I536" t="str">
        <f>IFERROR(VLOOKUP(C536,Merchants!$A$2:$D$41,2,FALSE),"Merchant not found")</f>
        <v>Merchant_029</v>
      </c>
      <c r="J536" t="str">
        <f>IFERROR(VLOOKUP(C536,Merchants!$A$2:$D$41,3,FALSE),"Merchant not found")</f>
        <v>ecommerce</v>
      </c>
      <c r="K536" t="str">
        <f>IFERROR(VLOOKUP(C536,Merchants!$A$2:$D$41,4,FALSE),"Merchant not found")</f>
        <v>North</v>
      </c>
      <c r="L536" s="2">
        <f>HLOOKUP(F536,Fee_lookup!$A$2:$E$3,2,FALSE)</f>
        <v>1.4999999999999999E-2</v>
      </c>
      <c r="M536" s="6">
        <f t="shared" si="24"/>
        <v>46036</v>
      </c>
      <c r="N536">
        <f t="shared" si="25"/>
        <v>1998</v>
      </c>
      <c r="O536" t="str">
        <f t="shared" si="26"/>
        <v>Normal Merchant Day</v>
      </c>
    </row>
    <row r="537" spans="1:15" x14ac:dyDescent="0.3">
      <c r="A537" t="s">
        <v>604</v>
      </c>
      <c r="B537">
        <v>200</v>
      </c>
      <c r="C537">
        <v>14</v>
      </c>
      <c r="D537" s="1">
        <v>46023.916666666664</v>
      </c>
      <c r="E537">
        <v>299</v>
      </c>
      <c r="F537" t="s">
        <v>78</v>
      </c>
      <c r="G537" t="s">
        <v>79</v>
      </c>
      <c r="H537">
        <v>77</v>
      </c>
      <c r="I537" t="str">
        <f>IFERROR(VLOOKUP(C537,Merchants!$A$2:$D$41,2,FALSE),"Merchant not found")</f>
        <v>Merchant_014</v>
      </c>
      <c r="J537" t="str">
        <f>IFERROR(VLOOKUP(C537,Merchants!$A$2:$D$41,3,FALSE),"Merchant not found")</f>
        <v>grocery</v>
      </c>
      <c r="K537" t="str">
        <f>IFERROR(VLOOKUP(C537,Merchants!$A$2:$D$41,4,FALSE),"Merchant not found")</f>
        <v>East</v>
      </c>
      <c r="L537" s="2">
        <f>HLOOKUP(F537,Fee_lookup!$A$2:$E$3,2,FALSE)</f>
        <v>1.4999999999999999E-2</v>
      </c>
      <c r="M537" s="6">
        <f t="shared" si="24"/>
        <v>46023</v>
      </c>
      <c r="N537">
        <f t="shared" si="25"/>
        <v>299</v>
      </c>
      <c r="O537" t="str">
        <f t="shared" si="26"/>
        <v>Normal Merchant Day</v>
      </c>
    </row>
    <row r="538" spans="1:15" x14ac:dyDescent="0.3">
      <c r="A538" t="s">
        <v>605</v>
      </c>
      <c r="B538">
        <v>200</v>
      </c>
      <c r="C538">
        <v>5</v>
      </c>
      <c r="D538" s="1">
        <v>46023.917361111111</v>
      </c>
      <c r="E538">
        <v>499</v>
      </c>
      <c r="F538" t="s">
        <v>78</v>
      </c>
      <c r="G538" t="s">
        <v>79</v>
      </c>
      <c r="H538">
        <v>66</v>
      </c>
      <c r="I538" t="str">
        <f>IFERROR(VLOOKUP(C538,Merchants!$A$2:$D$41,2,FALSE),"Merchant not found")</f>
        <v>Merchant_005</v>
      </c>
      <c r="J538" t="str">
        <f>IFERROR(VLOOKUP(C538,Merchants!$A$2:$D$41,3,FALSE),"Merchant not found")</f>
        <v>recharge</v>
      </c>
      <c r="K538" t="str">
        <f>IFERROR(VLOOKUP(C538,Merchants!$A$2:$D$41,4,FALSE),"Merchant not found")</f>
        <v>South</v>
      </c>
      <c r="L538" s="2">
        <f>HLOOKUP(F538,Fee_lookup!$A$2:$E$3,2,FALSE)</f>
        <v>1.4999999999999999E-2</v>
      </c>
      <c r="M538" s="6">
        <f t="shared" si="24"/>
        <v>46023</v>
      </c>
      <c r="N538">
        <f t="shared" si="25"/>
        <v>499</v>
      </c>
      <c r="O538" t="str">
        <f t="shared" si="26"/>
        <v>Normal Merchant Day</v>
      </c>
    </row>
    <row r="539" spans="1:15" x14ac:dyDescent="0.3">
      <c r="A539" t="s">
        <v>606</v>
      </c>
      <c r="B539">
        <v>200</v>
      </c>
      <c r="C539">
        <v>35</v>
      </c>
      <c r="D539" s="1">
        <v>46023.918055555558</v>
      </c>
      <c r="E539">
        <v>299</v>
      </c>
      <c r="F539" t="s">
        <v>78</v>
      </c>
      <c r="G539" t="s">
        <v>79</v>
      </c>
      <c r="H539">
        <v>83</v>
      </c>
      <c r="I539" t="str">
        <f>IFERROR(VLOOKUP(C539,Merchants!$A$2:$D$41,2,FALSE),"Merchant not found")</f>
        <v>Merchant_035</v>
      </c>
      <c r="J539" t="str">
        <f>IFERROR(VLOOKUP(C539,Merchants!$A$2:$D$41,3,FALSE),"Merchant not found")</f>
        <v>recharge</v>
      </c>
      <c r="K539" t="str">
        <f>IFERROR(VLOOKUP(C539,Merchants!$A$2:$D$41,4,FALSE),"Merchant not found")</f>
        <v>East</v>
      </c>
      <c r="L539" s="2">
        <f>HLOOKUP(F539,Fee_lookup!$A$2:$E$3,2,FALSE)</f>
        <v>1.4999999999999999E-2</v>
      </c>
      <c r="M539" s="6">
        <f t="shared" si="24"/>
        <v>46023</v>
      </c>
      <c r="N539">
        <f t="shared" si="25"/>
        <v>798</v>
      </c>
      <c r="O539" t="str">
        <f t="shared" si="26"/>
        <v>Normal Merchant Day</v>
      </c>
    </row>
    <row r="540" spans="1:15" x14ac:dyDescent="0.3">
      <c r="A540" t="s">
        <v>607</v>
      </c>
      <c r="B540">
        <v>200</v>
      </c>
      <c r="C540">
        <v>21</v>
      </c>
      <c r="D540" s="1">
        <v>46023.918749999997</v>
      </c>
      <c r="E540">
        <v>299</v>
      </c>
      <c r="F540" t="s">
        <v>78</v>
      </c>
      <c r="G540" t="s">
        <v>64</v>
      </c>
      <c r="H540">
        <v>89</v>
      </c>
      <c r="I540" t="str">
        <f>IFERROR(VLOOKUP(C540,Merchants!$A$2:$D$41,2,FALSE),"Merchant not found")</f>
        <v>Merchant_021</v>
      </c>
      <c r="J540" t="str">
        <f>IFERROR(VLOOKUP(C540,Merchants!$A$2:$D$41,3,FALSE),"Merchant not found")</f>
        <v>food_delivery</v>
      </c>
      <c r="K540" t="str">
        <f>IFERROR(VLOOKUP(C540,Merchants!$A$2:$D$41,4,FALSE),"Merchant not found")</f>
        <v>East</v>
      </c>
      <c r="L540" s="2">
        <f>HLOOKUP(F540,Fee_lookup!$A$2:$E$3,2,FALSE)</f>
        <v>1.4999999999999999E-2</v>
      </c>
      <c r="M540" s="6">
        <f t="shared" si="24"/>
        <v>46023</v>
      </c>
      <c r="N540">
        <f t="shared" si="25"/>
        <v>5298</v>
      </c>
      <c r="O540" t="str">
        <f t="shared" si="26"/>
        <v>Normal Merchant Day</v>
      </c>
    </row>
    <row r="541" spans="1:15" x14ac:dyDescent="0.3">
      <c r="A541" t="s">
        <v>608</v>
      </c>
      <c r="B541">
        <v>59</v>
      </c>
      <c r="C541">
        <v>32</v>
      </c>
      <c r="D541" s="1">
        <v>46031.875</v>
      </c>
      <c r="E541">
        <v>499</v>
      </c>
      <c r="F541" t="s">
        <v>78</v>
      </c>
      <c r="G541" t="s">
        <v>79</v>
      </c>
      <c r="H541">
        <v>80</v>
      </c>
      <c r="I541" t="str">
        <f>IFERROR(VLOOKUP(C541,Merchants!$A$2:$D$41,2,FALSE),"Merchant not found")</f>
        <v>Merchant_032</v>
      </c>
      <c r="J541" t="str">
        <f>IFERROR(VLOOKUP(C541,Merchants!$A$2:$D$41,3,FALSE),"Merchant not found")</f>
        <v>food_delivery</v>
      </c>
      <c r="K541" t="str">
        <f>IFERROR(VLOOKUP(C541,Merchants!$A$2:$D$41,4,FALSE),"Merchant not found")</f>
        <v>West</v>
      </c>
      <c r="L541" s="2">
        <f>HLOOKUP(F541,Fee_lookup!$A$2:$E$3,2,FALSE)</f>
        <v>1.4999999999999999E-2</v>
      </c>
      <c r="M541" s="6">
        <f t="shared" si="24"/>
        <v>46031</v>
      </c>
      <c r="N541">
        <f t="shared" si="25"/>
        <v>499</v>
      </c>
      <c r="O541" t="str">
        <f t="shared" si="26"/>
        <v>Normal Merchant Day</v>
      </c>
    </row>
    <row r="542" spans="1:15" x14ac:dyDescent="0.3">
      <c r="A542" t="s">
        <v>609</v>
      </c>
      <c r="B542">
        <v>59</v>
      </c>
      <c r="C542">
        <v>39</v>
      </c>
      <c r="D542" s="1">
        <v>46031.875694444447</v>
      </c>
      <c r="E542">
        <v>399</v>
      </c>
      <c r="F542" t="s">
        <v>78</v>
      </c>
      <c r="G542" t="s">
        <v>79</v>
      </c>
      <c r="H542">
        <v>85</v>
      </c>
      <c r="I542" t="str">
        <f>IFERROR(VLOOKUP(C542,Merchants!$A$2:$D$41,2,FALSE),"Merchant not found")</f>
        <v>Merchant_039</v>
      </c>
      <c r="J542" t="str">
        <f>IFERROR(VLOOKUP(C542,Merchants!$A$2:$D$41,3,FALSE),"Merchant not found")</f>
        <v>entertainment</v>
      </c>
      <c r="K542" t="str">
        <f>IFERROR(VLOOKUP(C542,Merchants!$A$2:$D$41,4,FALSE),"Merchant not found")</f>
        <v>North</v>
      </c>
      <c r="L542" s="2">
        <f>HLOOKUP(F542,Fee_lookup!$A$2:$E$3,2,FALSE)</f>
        <v>1.4999999999999999E-2</v>
      </c>
      <c r="M542" s="6">
        <f t="shared" si="24"/>
        <v>46031</v>
      </c>
      <c r="N542">
        <f t="shared" si="25"/>
        <v>399</v>
      </c>
      <c r="O542" t="str">
        <f t="shared" si="26"/>
        <v>Normal Merchant Day</v>
      </c>
    </row>
    <row r="543" spans="1:15" x14ac:dyDescent="0.3">
      <c r="A543" t="s">
        <v>610</v>
      </c>
      <c r="B543">
        <v>59</v>
      </c>
      <c r="C543">
        <v>38</v>
      </c>
      <c r="D543" s="1">
        <v>46031.876388888886</v>
      </c>
      <c r="E543">
        <v>299</v>
      </c>
      <c r="F543" t="s">
        <v>78</v>
      </c>
      <c r="G543" t="s">
        <v>79</v>
      </c>
      <c r="H543">
        <v>82</v>
      </c>
      <c r="I543" t="str">
        <f>IFERROR(VLOOKUP(C543,Merchants!$A$2:$D$41,2,FALSE),"Merchant not found")</f>
        <v>Merchant_038</v>
      </c>
      <c r="J543" t="str">
        <f>IFERROR(VLOOKUP(C543,Merchants!$A$2:$D$41,3,FALSE),"Merchant not found")</f>
        <v>grocery</v>
      </c>
      <c r="K543" t="str">
        <f>IFERROR(VLOOKUP(C543,Merchants!$A$2:$D$41,4,FALSE),"Merchant not found")</f>
        <v>East</v>
      </c>
      <c r="L543" s="2">
        <f>HLOOKUP(F543,Fee_lookup!$A$2:$E$3,2,FALSE)</f>
        <v>1.4999999999999999E-2</v>
      </c>
      <c r="M543" s="6">
        <f t="shared" si="24"/>
        <v>46031</v>
      </c>
      <c r="N543">
        <f t="shared" si="25"/>
        <v>348</v>
      </c>
      <c r="O543" t="str">
        <f t="shared" si="26"/>
        <v>Normal Merchant Day</v>
      </c>
    </row>
    <row r="544" spans="1:15" x14ac:dyDescent="0.3">
      <c r="A544" t="s">
        <v>611</v>
      </c>
      <c r="B544">
        <v>59</v>
      </c>
      <c r="C544">
        <v>23</v>
      </c>
      <c r="D544" s="1">
        <v>46031.877083333333</v>
      </c>
      <c r="E544">
        <v>399</v>
      </c>
      <c r="F544" t="s">
        <v>78</v>
      </c>
      <c r="G544" t="s">
        <v>64</v>
      </c>
      <c r="H544">
        <v>71</v>
      </c>
      <c r="I544" t="str">
        <f>IFERROR(VLOOKUP(C544,Merchants!$A$2:$D$41,2,FALSE),"Merchant not found")</f>
        <v>Merchant_023</v>
      </c>
      <c r="J544" t="str">
        <f>IFERROR(VLOOKUP(C544,Merchants!$A$2:$D$41,3,FALSE),"Merchant not found")</f>
        <v>travel</v>
      </c>
      <c r="K544" t="str">
        <f>IFERROR(VLOOKUP(C544,Merchants!$A$2:$D$41,4,FALSE),"Merchant not found")</f>
        <v>North</v>
      </c>
      <c r="L544" s="2">
        <f>HLOOKUP(F544,Fee_lookup!$A$2:$E$3,2,FALSE)</f>
        <v>1.4999999999999999E-2</v>
      </c>
      <c r="M544" s="6">
        <f t="shared" si="24"/>
        <v>46031</v>
      </c>
      <c r="N544">
        <f t="shared" si="25"/>
        <v>399</v>
      </c>
      <c r="O544" t="str">
        <f t="shared" si="26"/>
        <v>Normal Merchant Day</v>
      </c>
    </row>
    <row r="545" spans="1:15" x14ac:dyDescent="0.3">
      <c r="A545" t="s">
        <v>612</v>
      </c>
      <c r="B545">
        <v>345</v>
      </c>
      <c r="C545">
        <v>40</v>
      </c>
      <c r="D545" s="1">
        <v>46045.375</v>
      </c>
      <c r="E545">
        <v>499</v>
      </c>
      <c r="F545" t="s">
        <v>78</v>
      </c>
      <c r="G545" t="s">
        <v>79</v>
      </c>
      <c r="H545">
        <v>65</v>
      </c>
      <c r="I545" t="str">
        <f>IFERROR(VLOOKUP(C545,Merchants!$A$2:$D$41,2,FALSE),"Merchant not found")</f>
        <v>Merchant_040</v>
      </c>
      <c r="J545" t="str">
        <f>IFERROR(VLOOKUP(C545,Merchants!$A$2:$D$41,3,FALSE),"Merchant not found")</f>
        <v>entertainment</v>
      </c>
      <c r="K545" t="str">
        <f>IFERROR(VLOOKUP(C545,Merchants!$A$2:$D$41,4,FALSE),"Merchant not found")</f>
        <v>South</v>
      </c>
      <c r="L545" s="2">
        <f>HLOOKUP(F545,Fee_lookup!$A$2:$E$3,2,FALSE)</f>
        <v>1.4999999999999999E-2</v>
      </c>
      <c r="M545" s="6">
        <f t="shared" si="24"/>
        <v>46045</v>
      </c>
      <c r="N545">
        <f t="shared" si="25"/>
        <v>598</v>
      </c>
      <c r="O545" t="str">
        <f t="shared" si="26"/>
        <v>Normal Merchant Day</v>
      </c>
    </row>
    <row r="546" spans="1:15" x14ac:dyDescent="0.3">
      <c r="A546" t="s">
        <v>613</v>
      </c>
      <c r="B546">
        <v>345</v>
      </c>
      <c r="C546">
        <v>9</v>
      </c>
      <c r="D546" s="1">
        <v>46045.375694444447</v>
      </c>
      <c r="E546">
        <v>399</v>
      </c>
      <c r="F546" t="s">
        <v>78</v>
      </c>
      <c r="G546" t="s">
        <v>79</v>
      </c>
      <c r="H546">
        <v>67</v>
      </c>
      <c r="I546" t="str">
        <f>IFERROR(VLOOKUP(C546,Merchants!$A$2:$D$41,2,FALSE),"Merchant not found")</f>
        <v>Merchant_009</v>
      </c>
      <c r="J546" t="str">
        <f>IFERROR(VLOOKUP(C546,Merchants!$A$2:$D$41,3,FALSE),"Merchant not found")</f>
        <v>ecommerce</v>
      </c>
      <c r="K546" t="str">
        <f>IFERROR(VLOOKUP(C546,Merchants!$A$2:$D$41,4,FALSE),"Merchant not found")</f>
        <v>North</v>
      </c>
      <c r="L546" s="2">
        <f>HLOOKUP(F546,Fee_lookup!$A$2:$E$3,2,FALSE)</f>
        <v>1.4999999999999999E-2</v>
      </c>
      <c r="M546" s="6">
        <f t="shared" si="24"/>
        <v>46045</v>
      </c>
      <c r="N546">
        <f t="shared" si="25"/>
        <v>898</v>
      </c>
      <c r="O546" t="str">
        <f t="shared" si="26"/>
        <v>Normal Merchant Day</v>
      </c>
    </row>
    <row r="547" spans="1:15" x14ac:dyDescent="0.3">
      <c r="A547" t="s">
        <v>614</v>
      </c>
      <c r="B547">
        <v>345</v>
      </c>
      <c r="C547">
        <v>16</v>
      </c>
      <c r="D547" s="1">
        <v>46045.376388888886</v>
      </c>
      <c r="E547">
        <v>399</v>
      </c>
      <c r="F547" t="s">
        <v>78</v>
      </c>
      <c r="G547" t="s">
        <v>79</v>
      </c>
      <c r="H547">
        <v>67</v>
      </c>
      <c r="I547" t="str">
        <f>IFERROR(VLOOKUP(C547,Merchants!$A$2:$D$41,2,FALSE),"Merchant not found")</f>
        <v>Merchant_016</v>
      </c>
      <c r="J547" t="str">
        <f>IFERROR(VLOOKUP(C547,Merchants!$A$2:$D$41,3,FALSE),"Merchant not found")</f>
        <v>bill_payment</v>
      </c>
      <c r="K547" t="str">
        <f>IFERROR(VLOOKUP(C547,Merchants!$A$2:$D$41,4,FALSE),"Merchant not found")</f>
        <v>West</v>
      </c>
      <c r="L547" s="2">
        <f>HLOOKUP(F547,Fee_lookup!$A$2:$E$3,2,FALSE)</f>
        <v>1.4999999999999999E-2</v>
      </c>
      <c r="M547" s="6">
        <f t="shared" si="24"/>
        <v>46045</v>
      </c>
      <c r="N547">
        <f t="shared" si="25"/>
        <v>399</v>
      </c>
      <c r="O547" t="str">
        <f t="shared" si="26"/>
        <v>Normal Merchant Day</v>
      </c>
    </row>
    <row r="548" spans="1:15" x14ac:dyDescent="0.3">
      <c r="A548" t="s">
        <v>615</v>
      </c>
      <c r="B548">
        <v>345</v>
      </c>
      <c r="C548">
        <v>12</v>
      </c>
      <c r="D548" s="1">
        <v>46045.377083333333</v>
      </c>
      <c r="E548">
        <v>399</v>
      </c>
      <c r="F548" t="s">
        <v>78</v>
      </c>
      <c r="G548" t="s">
        <v>64</v>
      </c>
      <c r="H548">
        <v>69</v>
      </c>
      <c r="I548" t="str">
        <f>IFERROR(VLOOKUP(C548,Merchants!$A$2:$D$41,2,FALSE),"Merchant not found")</f>
        <v>Merchant_012</v>
      </c>
      <c r="J548" t="str">
        <f>IFERROR(VLOOKUP(C548,Merchants!$A$2:$D$41,3,FALSE),"Merchant not found")</f>
        <v>ecommerce</v>
      </c>
      <c r="K548" t="str">
        <f>IFERROR(VLOOKUP(C548,Merchants!$A$2:$D$41,4,FALSE),"Merchant not found")</f>
        <v>East</v>
      </c>
      <c r="L548" s="2">
        <f>HLOOKUP(F548,Fee_lookup!$A$2:$E$3,2,FALSE)</f>
        <v>1.4999999999999999E-2</v>
      </c>
      <c r="M548" s="6">
        <f t="shared" si="24"/>
        <v>46045</v>
      </c>
      <c r="N548">
        <f t="shared" si="25"/>
        <v>448</v>
      </c>
      <c r="O548" t="str">
        <f t="shared" si="26"/>
        <v>Normal Merchant Day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2343F-3B10-42C0-A4CB-2A87D8DEAC0E}">
  <dimension ref="A1:E3"/>
  <sheetViews>
    <sheetView workbookViewId="0">
      <selection activeCell="C9" sqref="C9"/>
    </sheetView>
  </sheetViews>
  <sheetFormatPr defaultRowHeight="14.4" x14ac:dyDescent="0.3"/>
  <cols>
    <col min="1" max="1" width="14.44140625" bestFit="1" customWidth="1"/>
    <col min="5" max="5" width="10.109375" bestFit="1" customWidth="1"/>
  </cols>
  <sheetData>
    <row r="1" spans="1:5" x14ac:dyDescent="0.3">
      <c r="A1" s="5" t="s">
        <v>616</v>
      </c>
      <c r="B1" s="5" t="s">
        <v>617</v>
      </c>
      <c r="C1" s="5" t="s">
        <v>618</v>
      </c>
      <c r="D1" s="5" t="s">
        <v>619</v>
      </c>
      <c r="E1" s="5" t="s">
        <v>620</v>
      </c>
    </row>
    <row r="2" spans="1:5" x14ac:dyDescent="0.3">
      <c r="A2" s="3" t="s">
        <v>621</v>
      </c>
      <c r="B2" s="3" t="s">
        <v>66</v>
      </c>
      <c r="C2" s="3" t="s">
        <v>63</v>
      </c>
      <c r="D2" s="3" t="s">
        <v>78</v>
      </c>
      <c r="E2" s="3" t="s">
        <v>69</v>
      </c>
    </row>
    <row r="3" spans="1:5" x14ac:dyDescent="0.3">
      <c r="A3" s="3" t="s">
        <v>622</v>
      </c>
      <c r="B3" s="4">
        <v>2.0000000000000001E-4</v>
      </c>
      <c r="C3" s="4">
        <v>5.0000000000000001E-4</v>
      </c>
      <c r="D3" s="4">
        <v>1.4999999999999999E-2</v>
      </c>
      <c r="E3" s="4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203D-68FE-45F3-996B-8CF901A25C7E}">
  <dimension ref="A3:C487"/>
  <sheetViews>
    <sheetView workbookViewId="0">
      <selection activeCell="A3" sqref="A3"/>
    </sheetView>
  </sheetViews>
  <sheetFormatPr defaultRowHeight="14.4" x14ac:dyDescent="0.3"/>
  <cols>
    <col min="1" max="1" width="13.44140625" bestFit="1" customWidth="1"/>
    <col min="2" max="2" width="16.44140625" bestFit="1" customWidth="1"/>
    <col min="3" max="3" width="20.21875" bestFit="1" customWidth="1"/>
  </cols>
  <sheetData>
    <row r="3" spans="1:3" x14ac:dyDescent="0.3">
      <c r="A3" s="7" t="s">
        <v>624</v>
      </c>
      <c r="B3" t="s">
        <v>626</v>
      </c>
      <c r="C3" t="s">
        <v>627</v>
      </c>
    </row>
    <row r="4" spans="1:3" x14ac:dyDescent="0.3">
      <c r="A4" s="8">
        <v>1</v>
      </c>
      <c r="B4">
        <v>10441</v>
      </c>
      <c r="C4">
        <v>9</v>
      </c>
    </row>
    <row r="5" spans="1:3" x14ac:dyDescent="0.3">
      <c r="A5" s="9">
        <v>46027</v>
      </c>
      <c r="B5">
        <v>1499</v>
      </c>
      <c r="C5">
        <v>1</v>
      </c>
    </row>
    <row r="6" spans="1:3" x14ac:dyDescent="0.3">
      <c r="A6" s="9">
        <v>46028</v>
      </c>
      <c r="B6">
        <v>149</v>
      </c>
      <c r="C6">
        <v>1</v>
      </c>
    </row>
    <row r="7" spans="1:3" x14ac:dyDescent="0.3">
      <c r="A7" s="9">
        <v>46031</v>
      </c>
      <c r="B7">
        <v>5048</v>
      </c>
      <c r="C7">
        <v>2</v>
      </c>
    </row>
    <row r="8" spans="1:3" x14ac:dyDescent="0.3">
      <c r="A8" s="9">
        <v>46033</v>
      </c>
      <c r="B8">
        <v>299</v>
      </c>
      <c r="C8">
        <v>1</v>
      </c>
    </row>
    <row r="9" spans="1:3" x14ac:dyDescent="0.3">
      <c r="A9" s="9">
        <v>46034</v>
      </c>
      <c r="B9">
        <v>149</v>
      </c>
      <c r="C9">
        <v>1</v>
      </c>
    </row>
    <row r="10" spans="1:3" x14ac:dyDescent="0.3">
      <c r="A10" s="9">
        <v>46039</v>
      </c>
      <c r="B10">
        <v>149</v>
      </c>
      <c r="C10">
        <v>1</v>
      </c>
    </row>
    <row r="11" spans="1:3" x14ac:dyDescent="0.3">
      <c r="A11" s="9">
        <v>46045</v>
      </c>
      <c r="B11">
        <v>3148</v>
      </c>
      <c r="C11">
        <v>2</v>
      </c>
    </row>
    <row r="12" spans="1:3" x14ac:dyDescent="0.3">
      <c r="A12" s="8">
        <v>2</v>
      </c>
      <c r="B12">
        <v>3640</v>
      </c>
      <c r="C12">
        <v>10</v>
      </c>
    </row>
    <row r="13" spans="1:3" x14ac:dyDescent="0.3">
      <c r="A13" s="9">
        <v>46029</v>
      </c>
      <c r="B13">
        <v>499</v>
      </c>
      <c r="C13">
        <v>1</v>
      </c>
    </row>
    <row r="14" spans="1:3" x14ac:dyDescent="0.3">
      <c r="A14" s="9">
        <v>46030</v>
      </c>
      <c r="B14">
        <v>299</v>
      </c>
      <c r="C14">
        <v>1</v>
      </c>
    </row>
    <row r="15" spans="1:3" x14ac:dyDescent="0.3">
      <c r="A15" s="9">
        <v>46034</v>
      </c>
      <c r="B15">
        <v>348</v>
      </c>
      <c r="C15">
        <v>2</v>
      </c>
    </row>
    <row r="16" spans="1:3" x14ac:dyDescent="0.3">
      <c r="A16" s="9">
        <v>46035</v>
      </c>
      <c r="B16">
        <v>49</v>
      </c>
      <c r="C16">
        <v>1</v>
      </c>
    </row>
    <row r="17" spans="1:3" x14ac:dyDescent="0.3">
      <c r="A17" s="9">
        <v>46037</v>
      </c>
      <c r="B17">
        <v>1499</v>
      </c>
      <c r="C17">
        <v>1</v>
      </c>
    </row>
    <row r="18" spans="1:3" x14ac:dyDescent="0.3">
      <c r="A18" s="9">
        <v>46041</v>
      </c>
      <c r="B18">
        <v>49</v>
      </c>
      <c r="C18">
        <v>1</v>
      </c>
    </row>
    <row r="19" spans="1:3" x14ac:dyDescent="0.3">
      <c r="A19" s="9">
        <v>46044</v>
      </c>
      <c r="B19">
        <v>299</v>
      </c>
      <c r="C19">
        <v>1</v>
      </c>
    </row>
    <row r="20" spans="1:3" x14ac:dyDescent="0.3">
      <c r="A20" s="9">
        <v>46048</v>
      </c>
      <c r="B20">
        <v>299</v>
      </c>
      <c r="C20">
        <v>1</v>
      </c>
    </row>
    <row r="21" spans="1:3" x14ac:dyDescent="0.3">
      <c r="A21" s="9">
        <v>46052</v>
      </c>
      <c r="B21">
        <v>299</v>
      </c>
      <c r="C21">
        <v>1</v>
      </c>
    </row>
    <row r="22" spans="1:3" x14ac:dyDescent="0.3">
      <c r="A22" s="8">
        <v>3</v>
      </c>
      <c r="B22">
        <v>8233</v>
      </c>
      <c r="C22">
        <v>17</v>
      </c>
    </row>
    <row r="23" spans="1:3" x14ac:dyDescent="0.3">
      <c r="A23" s="9">
        <v>46025</v>
      </c>
      <c r="B23">
        <v>198</v>
      </c>
      <c r="C23">
        <v>2</v>
      </c>
    </row>
    <row r="24" spans="1:3" x14ac:dyDescent="0.3">
      <c r="A24" s="9">
        <v>46027</v>
      </c>
      <c r="B24">
        <v>99</v>
      </c>
      <c r="C24">
        <v>1</v>
      </c>
    </row>
    <row r="25" spans="1:3" x14ac:dyDescent="0.3">
      <c r="A25" s="9">
        <v>46028</v>
      </c>
      <c r="B25">
        <v>898</v>
      </c>
      <c r="C25">
        <v>2</v>
      </c>
    </row>
    <row r="26" spans="1:3" x14ac:dyDescent="0.3">
      <c r="A26" s="9">
        <v>46029</v>
      </c>
      <c r="B26">
        <v>798</v>
      </c>
      <c r="C26">
        <v>2</v>
      </c>
    </row>
    <row r="27" spans="1:3" x14ac:dyDescent="0.3">
      <c r="A27" s="9">
        <v>46030</v>
      </c>
      <c r="B27">
        <v>149</v>
      </c>
      <c r="C27">
        <v>1</v>
      </c>
    </row>
    <row r="28" spans="1:3" x14ac:dyDescent="0.3">
      <c r="A28" s="9">
        <v>46035</v>
      </c>
      <c r="B28">
        <v>198</v>
      </c>
      <c r="C28">
        <v>2</v>
      </c>
    </row>
    <row r="29" spans="1:3" x14ac:dyDescent="0.3">
      <c r="A29" s="9">
        <v>46038</v>
      </c>
      <c r="B29">
        <v>4999</v>
      </c>
      <c r="C29">
        <v>1</v>
      </c>
    </row>
    <row r="30" spans="1:3" x14ac:dyDescent="0.3">
      <c r="A30" s="9">
        <v>46042</v>
      </c>
      <c r="B30">
        <v>99</v>
      </c>
      <c r="C30">
        <v>1</v>
      </c>
    </row>
    <row r="31" spans="1:3" x14ac:dyDescent="0.3">
      <c r="A31" s="9">
        <v>46044</v>
      </c>
      <c r="B31">
        <v>499</v>
      </c>
      <c r="C31">
        <v>1</v>
      </c>
    </row>
    <row r="32" spans="1:3" x14ac:dyDescent="0.3">
      <c r="A32" s="9">
        <v>46045</v>
      </c>
      <c r="B32">
        <v>49</v>
      </c>
      <c r="C32">
        <v>1</v>
      </c>
    </row>
    <row r="33" spans="1:3" x14ac:dyDescent="0.3">
      <c r="A33" s="9">
        <v>46048</v>
      </c>
      <c r="B33">
        <v>149</v>
      </c>
      <c r="C33">
        <v>1</v>
      </c>
    </row>
    <row r="34" spans="1:3" x14ac:dyDescent="0.3">
      <c r="A34" s="9">
        <v>46051</v>
      </c>
      <c r="B34">
        <v>49</v>
      </c>
      <c r="C34">
        <v>1</v>
      </c>
    </row>
    <row r="35" spans="1:3" x14ac:dyDescent="0.3">
      <c r="A35" s="9">
        <v>46052</v>
      </c>
      <c r="B35">
        <v>49</v>
      </c>
      <c r="C35">
        <v>1</v>
      </c>
    </row>
    <row r="36" spans="1:3" x14ac:dyDescent="0.3">
      <c r="A36" s="8">
        <v>4</v>
      </c>
      <c r="B36">
        <v>6941</v>
      </c>
      <c r="C36">
        <v>9</v>
      </c>
    </row>
    <row r="37" spans="1:3" x14ac:dyDescent="0.3">
      <c r="A37" s="9">
        <v>46024</v>
      </c>
      <c r="B37">
        <v>149</v>
      </c>
      <c r="C37">
        <v>1</v>
      </c>
    </row>
    <row r="38" spans="1:3" x14ac:dyDescent="0.3">
      <c r="A38" s="9">
        <v>46034</v>
      </c>
      <c r="B38">
        <v>49</v>
      </c>
      <c r="C38">
        <v>1</v>
      </c>
    </row>
    <row r="39" spans="1:3" x14ac:dyDescent="0.3">
      <c r="A39" s="9">
        <v>46035</v>
      </c>
      <c r="B39">
        <v>948</v>
      </c>
      <c r="C39">
        <v>2</v>
      </c>
    </row>
    <row r="40" spans="1:3" x14ac:dyDescent="0.3">
      <c r="A40" s="9">
        <v>46038</v>
      </c>
      <c r="B40">
        <v>799</v>
      </c>
      <c r="C40">
        <v>1</v>
      </c>
    </row>
    <row r="41" spans="1:3" x14ac:dyDescent="0.3">
      <c r="A41" s="9">
        <v>46039</v>
      </c>
      <c r="B41">
        <v>1499</v>
      </c>
      <c r="C41">
        <v>1</v>
      </c>
    </row>
    <row r="42" spans="1:3" x14ac:dyDescent="0.3">
      <c r="A42" s="9">
        <v>46046</v>
      </c>
      <c r="B42">
        <v>1499</v>
      </c>
      <c r="C42">
        <v>1</v>
      </c>
    </row>
    <row r="43" spans="1:3" x14ac:dyDescent="0.3">
      <c r="A43" s="9">
        <v>46047</v>
      </c>
      <c r="B43">
        <v>1998</v>
      </c>
      <c r="C43">
        <v>2</v>
      </c>
    </row>
    <row r="44" spans="1:3" x14ac:dyDescent="0.3">
      <c r="A44" s="8">
        <v>5</v>
      </c>
      <c r="B44">
        <v>5839</v>
      </c>
      <c r="C44">
        <v>11</v>
      </c>
    </row>
    <row r="45" spans="1:3" x14ac:dyDescent="0.3">
      <c r="A45" s="9">
        <v>46023</v>
      </c>
      <c r="B45">
        <v>499</v>
      </c>
      <c r="C45">
        <v>1</v>
      </c>
    </row>
    <row r="46" spans="1:3" x14ac:dyDescent="0.3">
      <c r="A46" s="9">
        <v>46025</v>
      </c>
      <c r="B46">
        <v>499</v>
      </c>
      <c r="C46">
        <v>1</v>
      </c>
    </row>
    <row r="47" spans="1:3" x14ac:dyDescent="0.3">
      <c r="A47" s="9">
        <v>46031</v>
      </c>
      <c r="B47">
        <v>348</v>
      </c>
      <c r="C47">
        <v>2</v>
      </c>
    </row>
    <row r="48" spans="1:3" x14ac:dyDescent="0.3">
      <c r="A48" s="9">
        <v>46032</v>
      </c>
      <c r="B48">
        <v>99</v>
      </c>
      <c r="C48">
        <v>1</v>
      </c>
    </row>
    <row r="49" spans="1:3" x14ac:dyDescent="0.3">
      <c r="A49" s="9">
        <v>46037</v>
      </c>
      <c r="B49">
        <v>548</v>
      </c>
      <c r="C49">
        <v>2</v>
      </c>
    </row>
    <row r="50" spans="1:3" x14ac:dyDescent="0.3">
      <c r="A50" s="9">
        <v>46039</v>
      </c>
      <c r="B50">
        <v>499</v>
      </c>
      <c r="C50">
        <v>1</v>
      </c>
    </row>
    <row r="51" spans="1:3" x14ac:dyDescent="0.3">
      <c r="A51" s="9">
        <v>46040</v>
      </c>
      <c r="B51">
        <v>299</v>
      </c>
      <c r="C51">
        <v>1</v>
      </c>
    </row>
    <row r="52" spans="1:3" x14ac:dyDescent="0.3">
      <c r="A52" s="9">
        <v>46041</v>
      </c>
      <c r="B52">
        <v>49</v>
      </c>
      <c r="C52">
        <v>1</v>
      </c>
    </row>
    <row r="53" spans="1:3" x14ac:dyDescent="0.3">
      <c r="A53" s="9">
        <v>46052</v>
      </c>
      <c r="B53">
        <v>2999</v>
      </c>
      <c r="C53">
        <v>1</v>
      </c>
    </row>
    <row r="54" spans="1:3" x14ac:dyDescent="0.3">
      <c r="A54" s="8">
        <v>6</v>
      </c>
      <c r="B54">
        <v>7436</v>
      </c>
      <c r="C54">
        <v>14</v>
      </c>
    </row>
    <row r="55" spans="1:3" x14ac:dyDescent="0.3">
      <c r="A55" s="9">
        <v>46023</v>
      </c>
      <c r="B55">
        <v>49</v>
      </c>
      <c r="C55">
        <v>1</v>
      </c>
    </row>
    <row r="56" spans="1:3" x14ac:dyDescent="0.3">
      <c r="A56" s="9">
        <v>46025</v>
      </c>
      <c r="B56">
        <v>799</v>
      </c>
      <c r="C56">
        <v>1</v>
      </c>
    </row>
    <row r="57" spans="1:3" x14ac:dyDescent="0.3">
      <c r="A57" s="9">
        <v>46027</v>
      </c>
      <c r="B57">
        <v>1499</v>
      </c>
      <c r="C57">
        <v>1</v>
      </c>
    </row>
    <row r="58" spans="1:3" x14ac:dyDescent="0.3">
      <c r="A58" s="9">
        <v>46030</v>
      </c>
      <c r="B58">
        <v>149</v>
      </c>
      <c r="C58">
        <v>1</v>
      </c>
    </row>
    <row r="59" spans="1:3" x14ac:dyDescent="0.3">
      <c r="A59" s="9">
        <v>46031</v>
      </c>
      <c r="B59">
        <v>99</v>
      </c>
      <c r="C59">
        <v>1</v>
      </c>
    </row>
    <row r="60" spans="1:3" x14ac:dyDescent="0.3">
      <c r="A60" s="9">
        <v>46033</v>
      </c>
      <c r="B60">
        <v>1499</v>
      </c>
      <c r="C60">
        <v>1</v>
      </c>
    </row>
    <row r="61" spans="1:3" x14ac:dyDescent="0.3">
      <c r="A61" s="9">
        <v>46035</v>
      </c>
      <c r="B61">
        <v>1499</v>
      </c>
      <c r="C61">
        <v>1</v>
      </c>
    </row>
    <row r="62" spans="1:3" x14ac:dyDescent="0.3">
      <c r="A62" s="9">
        <v>46037</v>
      </c>
      <c r="B62">
        <v>49</v>
      </c>
      <c r="C62">
        <v>1</v>
      </c>
    </row>
    <row r="63" spans="1:3" x14ac:dyDescent="0.3">
      <c r="A63" s="9">
        <v>46039</v>
      </c>
      <c r="B63">
        <v>799</v>
      </c>
      <c r="C63">
        <v>1</v>
      </c>
    </row>
    <row r="64" spans="1:3" x14ac:dyDescent="0.3">
      <c r="A64" s="9">
        <v>46041</v>
      </c>
      <c r="B64">
        <v>49</v>
      </c>
      <c r="C64">
        <v>1</v>
      </c>
    </row>
    <row r="65" spans="1:3" x14ac:dyDescent="0.3">
      <c r="A65" s="9">
        <v>46043</v>
      </c>
      <c r="B65">
        <v>49</v>
      </c>
      <c r="C65">
        <v>1</v>
      </c>
    </row>
    <row r="66" spans="1:3" x14ac:dyDescent="0.3">
      <c r="A66" s="9">
        <v>46048</v>
      </c>
      <c r="B66">
        <v>897</v>
      </c>
      <c r="C66">
        <v>3</v>
      </c>
    </row>
    <row r="67" spans="1:3" x14ac:dyDescent="0.3">
      <c r="A67" s="8">
        <v>7</v>
      </c>
      <c r="B67">
        <v>15934</v>
      </c>
      <c r="C67">
        <v>16</v>
      </c>
    </row>
    <row r="68" spans="1:3" x14ac:dyDescent="0.3">
      <c r="A68" s="9">
        <v>46024</v>
      </c>
      <c r="B68">
        <v>3797</v>
      </c>
      <c r="C68">
        <v>3</v>
      </c>
    </row>
    <row r="69" spans="1:3" x14ac:dyDescent="0.3">
      <c r="A69" s="9">
        <v>46025</v>
      </c>
      <c r="B69">
        <v>149</v>
      </c>
      <c r="C69">
        <v>1</v>
      </c>
    </row>
    <row r="70" spans="1:3" x14ac:dyDescent="0.3">
      <c r="A70" s="9">
        <v>46027</v>
      </c>
      <c r="B70">
        <v>4498</v>
      </c>
      <c r="C70">
        <v>2</v>
      </c>
    </row>
    <row r="71" spans="1:3" x14ac:dyDescent="0.3">
      <c r="A71" s="9">
        <v>46030</v>
      </c>
      <c r="B71">
        <v>299</v>
      </c>
      <c r="C71">
        <v>1</v>
      </c>
    </row>
    <row r="72" spans="1:3" x14ac:dyDescent="0.3">
      <c r="A72" s="9">
        <v>46032</v>
      </c>
      <c r="B72">
        <v>499</v>
      </c>
      <c r="C72">
        <v>1</v>
      </c>
    </row>
    <row r="73" spans="1:3" x14ac:dyDescent="0.3">
      <c r="A73" s="9">
        <v>46037</v>
      </c>
      <c r="B73">
        <v>1648</v>
      </c>
      <c r="C73">
        <v>2</v>
      </c>
    </row>
    <row r="74" spans="1:3" x14ac:dyDescent="0.3">
      <c r="A74" s="9">
        <v>46039</v>
      </c>
      <c r="B74">
        <v>149</v>
      </c>
      <c r="C74">
        <v>1</v>
      </c>
    </row>
    <row r="75" spans="1:3" x14ac:dyDescent="0.3">
      <c r="A75" s="9">
        <v>46043</v>
      </c>
      <c r="B75">
        <v>1499</v>
      </c>
      <c r="C75">
        <v>1</v>
      </c>
    </row>
    <row r="76" spans="1:3" x14ac:dyDescent="0.3">
      <c r="A76" s="9">
        <v>46046</v>
      </c>
      <c r="B76">
        <v>1298</v>
      </c>
      <c r="C76">
        <v>2</v>
      </c>
    </row>
    <row r="77" spans="1:3" x14ac:dyDescent="0.3">
      <c r="A77" s="9">
        <v>46047</v>
      </c>
      <c r="B77">
        <v>99</v>
      </c>
      <c r="C77">
        <v>1</v>
      </c>
    </row>
    <row r="78" spans="1:3" x14ac:dyDescent="0.3">
      <c r="A78" s="9">
        <v>46052</v>
      </c>
      <c r="B78">
        <v>1999</v>
      </c>
      <c r="C78">
        <v>1</v>
      </c>
    </row>
    <row r="79" spans="1:3" x14ac:dyDescent="0.3">
      <c r="A79" s="8">
        <v>8</v>
      </c>
      <c r="B79">
        <v>7434</v>
      </c>
      <c r="C79">
        <v>16</v>
      </c>
    </row>
    <row r="80" spans="1:3" x14ac:dyDescent="0.3">
      <c r="A80" s="9">
        <v>46024</v>
      </c>
      <c r="B80">
        <v>299</v>
      </c>
      <c r="C80">
        <v>1</v>
      </c>
    </row>
    <row r="81" spans="1:3" x14ac:dyDescent="0.3">
      <c r="A81" s="9">
        <v>46025</v>
      </c>
      <c r="B81">
        <v>299</v>
      </c>
      <c r="C81">
        <v>1</v>
      </c>
    </row>
    <row r="82" spans="1:3" x14ac:dyDescent="0.3">
      <c r="A82" s="9">
        <v>46028</v>
      </c>
      <c r="B82">
        <v>49</v>
      </c>
      <c r="C82">
        <v>1</v>
      </c>
    </row>
    <row r="83" spans="1:3" x14ac:dyDescent="0.3">
      <c r="A83" s="9">
        <v>46030</v>
      </c>
      <c r="B83">
        <v>99</v>
      </c>
      <c r="C83">
        <v>1</v>
      </c>
    </row>
    <row r="84" spans="1:3" x14ac:dyDescent="0.3">
      <c r="A84" s="9">
        <v>46033</v>
      </c>
      <c r="B84">
        <v>149</v>
      </c>
      <c r="C84">
        <v>1</v>
      </c>
    </row>
    <row r="85" spans="1:3" x14ac:dyDescent="0.3">
      <c r="A85" s="9">
        <v>46034</v>
      </c>
      <c r="B85">
        <v>398</v>
      </c>
      <c r="C85">
        <v>2</v>
      </c>
    </row>
    <row r="86" spans="1:3" x14ac:dyDescent="0.3">
      <c r="A86" s="9">
        <v>46038</v>
      </c>
      <c r="B86">
        <v>2999</v>
      </c>
      <c r="C86">
        <v>1</v>
      </c>
    </row>
    <row r="87" spans="1:3" x14ac:dyDescent="0.3">
      <c r="A87" s="9">
        <v>46039</v>
      </c>
      <c r="B87">
        <v>348</v>
      </c>
      <c r="C87">
        <v>2</v>
      </c>
    </row>
    <row r="88" spans="1:3" x14ac:dyDescent="0.3">
      <c r="A88" s="9">
        <v>46040</v>
      </c>
      <c r="B88">
        <v>499</v>
      </c>
      <c r="C88">
        <v>1</v>
      </c>
    </row>
    <row r="89" spans="1:3" x14ac:dyDescent="0.3">
      <c r="A89" s="9">
        <v>46041</v>
      </c>
      <c r="B89">
        <v>99</v>
      </c>
      <c r="C89">
        <v>1</v>
      </c>
    </row>
    <row r="90" spans="1:3" x14ac:dyDescent="0.3">
      <c r="A90" s="9">
        <v>46048</v>
      </c>
      <c r="B90">
        <v>598</v>
      </c>
      <c r="C90">
        <v>2</v>
      </c>
    </row>
    <row r="91" spans="1:3" x14ac:dyDescent="0.3">
      <c r="A91" s="9">
        <v>46049</v>
      </c>
      <c r="B91">
        <v>1499</v>
      </c>
      <c r="C91">
        <v>1</v>
      </c>
    </row>
    <row r="92" spans="1:3" x14ac:dyDescent="0.3">
      <c r="A92" s="9">
        <v>46052</v>
      </c>
      <c r="B92">
        <v>99</v>
      </c>
      <c r="C92">
        <v>1</v>
      </c>
    </row>
    <row r="93" spans="1:3" x14ac:dyDescent="0.3">
      <c r="A93" s="8">
        <v>9</v>
      </c>
      <c r="B93">
        <v>4982</v>
      </c>
      <c r="C93">
        <v>18</v>
      </c>
    </row>
    <row r="94" spans="1:3" x14ac:dyDescent="0.3">
      <c r="A94" s="9">
        <v>46023</v>
      </c>
      <c r="B94">
        <v>499</v>
      </c>
      <c r="C94">
        <v>1</v>
      </c>
    </row>
    <row r="95" spans="1:3" x14ac:dyDescent="0.3">
      <c r="A95" s="9">
        <v>46026</v>
      </c>
      <c r="B95">
        <v>499</v>
      </c>
      <c r="C95">
        <v>1</v>
      </c>
    </row>
    <row r="96" spans="1:3" x14ac:dyDescent="0.3">
      <c r="A96" s="9">
        <v>46027</v>
      </c>
      <c r="B96">
        <v>149</v>
      </c>
      <c r="C96">
        <v>1</v>
      </c>
    </row>
    <row r="97" spans="1:3" x14ac:dyDescent="0.3">
      <c r="A97" s="9">
        <v>46028</v>
      </c>
      <c r="B97">
        <v>149</v>
      </c>
      <c r="C97">
        <v>1</v>
      </c>
    </row>
    <row r="98" spans="1:3" x14ac:dyDescent="0.3">
      <c r="A98" s="9">
        <v>46031</v>
      </c>
      <c r="B98">
        <v>99</v>
      </c>
      <c r="C98">
        <v>1</v>
      </c>
    </row>
    <row r="99" spans="1:3" x14ac:dyDescent="0.3">
      <c r="A99" s="9">
        <v>46032</v>
      </c>
      <c r="B99">
        <v>49</v>
      </c>
      <c r="C99">
        <v>1</v>
      </c>
    </row>
    <row r="100" spans="1:3" x14ac:dyDescent="0.3">
      <c r="A100" s="9">
        <v>46034</v>
      </c>
      <c r="B100">
        <v>299</v>
      </c>
      <c r="C100">
        <v>1</v>
      </c>
    </row>
    <row r="101" spans="1:3" x14ac:dyDescent="0.3">
      <c r="A101" s="9">
        <v>46037</v>
      </c>
      <c r="B101">
        <v>148</v>
      </c>
      <c r="C101">
        <v>2</v>
      </c>
    </row>
    <row r="102" spans="1:3" x14ac:dyDescent="0.3">
      <c r="A102" s="9">
        <v>46039</v>
      </c>
      <c r="B102">
        <v>248</v>
      </c>
      <c r="C102">
        <v>2</v>
      </c>
    </row>
    <row r="103" spans="1:3" x14ac:dyDescent="0.3">
      <c r="A103" s="9">
        <v>46040</v>
      </c>
      <c r="B103">
        <v>299</v>
      </c>
      <c r="C103">
        <v>1</v>
      </c>
    </row>
    <row r="104" spans="1:3" x14ac:dyDescent="0.3">
      <c r="A104" s="9">
        <v>46041</v>
      </c>
      <c r="B104">
        <v>299</v>
      </c>
      <c r="C104">
        <v>1</v>
      </c>
    </row>
    <row r="105" spans="1:3" x14ac:dyDescent="0.3">
      <c r="A105" s="9">
        <v>46044</v>
      </c>
      <c r="B105">
        <v>1298</v>
      </c>
      <c r="C105">
        <v>2</v>
      </c>
    </row>
    <row r="106" spans="1:3" x14ac:dyDescent="0.3">
      <c r="A106" s="9">
        <v>46045</v>
      </c>
      <c r="B106">
        <v>898</v>
      </c>
      <c r="C106">
        <v>2</v>
      </c>
    </row>
    <row r="107" spans="1:3" x14ac:dyDescent="0.3">
      <c r="A107" s="9">
        <v>46051</v>
      </c>
      <c r="B107">
        <v>49</v>
      </c>
      <c r="C107">
        <v>1</v>
      </c>
    </row>
    <row r="108" spans="1:3" x14ac:dyDescent="0.3">
      <c r="A108" s="8">
        <v>10</v>
      </c>
      <c r="B108">
        <v>13086</v>
      </c>
      <c r="C108">
        <v>14</v>
      </c>
    </row>
    <row r="109" spans="1:3" x14ac:dyDescent="0.3">
      <c r="A109" s="9">
        <v>46027</v>
      </c>
      <c r="B109">
        <v>49</v>
      </c>
      <c r="C109">
        <v>1</v>
      </c>
    </row>
    <row r="110" spans="1:3" x14ac:dyDescent="0.3">
      <c r="A110" s="9">
        <v>46030</v>
      </c>
      <c r="B110">
        <v>799</v>
      </c>
      <c r="C110">
        <v>1</v>
      </c>
    </row>
    <row r="111" spans="1:3" x14ac:dyDescent="0.3">
      <c r="A111" s="9">
        <v>46033</v>
      </c>
      <c r="B111">
        <v>98</v>
      </c>
      <c r="C111">
        <v>2</v>
      </c>
    </row>
    <row r="112" spans="1:3" x14ac:dyDescent="0.3">
      <c r="A112" s="9">
        <v>46034</v>
      </c>
      <c r="B112">
        <v>399</v>
      </c>
      <c r="C112">
        <v>1</v>
      </c>
    </row>
    <row r="113" spans="1:3" x14ac:dyDescent="0.3">
      <c r="A113" s="9">
        <v>46035</v>
      </c>
      <c r="B113">
        <v>1499</v>
      </c>
      <c r="C113">
        <v>1</v>
      </c>
    </row>
    <row r="114" spans="1:3" x14ac:dyDescent="0.3">
      <c r="A114" s="9">
        <v>46036</v>
      </c>
      <c r="B114">
        <v>499</v>
      </c>
      <c r="C114">
        <v>1</v>
      </c>
    </row>
    <row r="115" spans="1:3" x14ac:dyDescent="0.3">
      <c r="A115" s="9">
        <v>46037</v>
      </c>
      <c r="B115">
        <v>2999</v>
      </c>
      <c r="C115">
        <v>1</v>
      </c>
    </row>
    <row r="116" spans="1:3" x14ac:dyDescent="0.3">
      <c r="A116" s="9">
        <v>46038</v>
      </c>
      <c r="B116">
        <v>49</v>
      </c>
      <c r="C116">
        <v>1</v>
      </c>
    </row>
    <row r="117" spans="1:3" x14ac:dyDescent="0.3">
      <c r="A117" s="9">
        <v>46041</v>
      </c>
      <c r="B117">
        <v>499</v>
      </c>
      <c r="C117">
        <v>1</v>
      </c>
    </row>
    <row r="118" spans="1:3" x14ac:dyDescent="0.3">
      <c r="A118" s="9">
        <v>46042</v>
      </c>
      <c r="B118">
        <v>4999</v>
      </c>
      <c r="C118">
        <v>1</v>
      </c>
    </row>
    <row r="119" spans="1:3" x14ac:dyDescent="0.3">
      <c r="A119" s="9">
        <v>46043</v>
      </c>
      <c r="B119">
        <v>398</v>
      </c>
      <c r="C119">
        <v>2</v>
      </c>
    </row>
    <row r="120" spans="1:3" x14ac:dyDescent="0.3">
      <c r="A120" s="9">
        <v>46051</v>
      </c>
      <c r="B120">
        <v>799</v>
      </c>
      <c r="C120">
        <v>1</v>
      </c>
    </row>
    <row r="121" spans="1:3" x14ac:dyDescent="0.3">
      <c r="A121" s="8">
        <v>11</v>
      </c>
      <c r="B121">
        <v>10940</v>
      </c>
      <c r="C121">
        <v>10</v>
      </c>
    </row>
    <row r="122" spans="1:3" x14ac:dyDescent="0.3">
      <c r="A122" s="9">
        <v>46026</v>
      </c>
      <c r="B122">
        <v>1499</v>
      </c>
      <c r="C122">
        <v>1</v>
      </c>
    </row>
    <row r="123" spans="1:3" x14ac:dyDescent="0.3">
      <c r="A123" s="9">
        <v>46028</v>
      </c>
      <c r="B123">
        <v>1499</v>
      </c>
      <c r="C123">
        <v>1</v>
      </c>
    </row>
    <row r="124" spans="1:3" x14ac:dyDescent="0.3">
      <c r="A124" s="9">
        <v>46029</v>
      </c>
      <c r="B124">
        <v>49</v>
      </c>
      <c r="C124">
        <v>1</v>
      </c>
    </row>
    <row r="125" spans="1:3" x14ac:dyDescent="0.3">
      <c r="A125" s="9">
        <v>46033</v>
      </c>
      <c r="B125">
        <v>4999</v>
      </c>
      <c r="C125">
        <v>1</v>
      </c>
    </row>
    <row r="126" spans="1:3" x14ac:dyDescent="0.3">
      <c r="A126" s="9">
        <v>46040</v>
      </c>
      <c r="B126">
        <v>499</v>
      </c>
      <c r="C126">
        <v>1</v>
      </c>
    </row>
    <row r="127" spans="1:3" x14ac:dyDescent="0.3">
      <c r="A127" s="9">
        <v>46042</v>
      </c>
      <c r="B127">
        <v>299</v>
      </c>
      <c r="C127">
        <v>1</v>
      </c>
    </row>
    <row r="128" spans="1:3" x14ac:dyDescent="0.3">
      <c r="A128" s="9">
        <v>46043</v>
      </c>
      <c r="B128">
        <v>149</v>
      </c>
      <c r="C128">
        <v>1</v>
      </c>
    </row>
    <row r="129" spans="1:3" x14ac:dyDescent="0.3">
      <c r="A129" s="9">
        <v>46046</v>
      </c>
      <c r="B129">
        <v>1798</v>
      </c>
      <c r="C129">
        <v>2</v>
      </c>
    </row>
    <row r="130" spans="1:3" x14ac:dyDescent="0.3">
      <c r="A130" s="9">
        <v>46051</v>
      </c>
      <c r="B130">
        <v>149</v>
      </c>
      <c r="C130">
        <v>1</v>
      </c>
    </row>
    <row r="131" spans="1:3" x14ac:dyDescent="0.3">
      <c r="A131" s="8">
        <v>12</v>
      </c>
      <c r="B131">
        <v>10387</v>
      </c>
      <c r="C131">
        <v>13</v>
      </c>
    </row>
    <row r="132" spans="1:3" x14ac:dyDescent="0.3">
      <c r="A132" s="9">
        <v>46023</v>
      </c>
      <c r="B132">
        <v>548</v>
      </c>
      <c r="C132">
        <v>2</v>
      </c>
    </row>
    <row r="133" spans="1:3" x14ac:dyDescent="0.3">
      <c r="A133" s="9">
        <v>46031</v>
      </c>
      <c r="B133">
        <v>799</v>
      </c>
      <c r="C133">
        <v>1</v>
      </c>
    </row>
    <row r="134" spans="1:3" x14ac:dyDescent="0.3">
      <c r="A134" s="9">
        <v>46034</v>
      </c>
      <c r="B134">
        <v>1998</v>
      </c>
      <c r="C134">
        <v>2</v>
      </c>
    </row>
    <row r="135" spans="1:3" x14ac:dyDescent="0.3">
      <c r="A135" s="9">
        <v>46036</v>
      </c>
      <c r="B135">
        <v>548</v>
      </c>
      <c r="C135">
        <v>2</v>
      </c>
    </row>
    <row r="136" spans="1:3" x14ac:dyDescent="0.3">
      <c r="A136" s="9">
        <v>46040</v>
      </c>
      <c r="B136">
        <v>799</v>
      </c>
      <c r="C136">
        <v>1</v>
      </c>
    </row>
    <row r="137" spans="1:3" x14ac:dyDescent="0.3">
      <c r="A137" s="9">
        <v>46044</v>
      </c>
      <c r="B137">
        <v>99</v>
      </c>
      <c r="C137">
        <v>1</v>
      </c>
    </row>
    <row r="138" spans="1:3" x14ac:dyDescent="0.3">
      <c r="A138" s="9">
        <v>46045</v>
      </c>
      <c r="B138">
        <v>448</v>
      </c>
      <c r="C138">
        <v>2</v>
      </c>
    </row>
    <row r="139" spans="1:3" x14ac:dyDescent="0.3">
      <c r="A139" s="9">
        <v>46049</v>
      </c>
      <c r="B139">
        <v>149</v>
      </c>
      <c r="C139">
        <v>1</v>
      </c>
    </row>
    <row r="140" spans="1:3" x14ac:dyDescent="0.3">
      <c r="A140" s="9">
        <v>46052</v>
      </c>
      <c r="B140">
        <v>4999</v>
      </c>
      <c r="C140">
        <v>1</v>
      </c>
    </row>
    <row r="141" spans="1:3" x14ac:dyDescent="0.3">
      <c r="A141" s="8">
        <v>13</v>
      </c>
      <c r="B141">
        <v>18388</v>
      </c>
      <c r="C141">
        <v>12</v>
      </c>
    </row>
    <row r="142" spans="1:3" x14ac:dyDescent="0.3">
      <c r="A142" s="9">
        <v>46030</v>
      </c>
      <c r="B142">
        <v>149</v>
      </c>
      <c r="C142">
        <v>1</v>
      </c>
    </row>
    <row r="143" spans="1:3" x14ac:dyDescent="0.3">
      <c r="A143" s="9">
        <v>46031</v>
      </c>
      <c r="B143">
        <v>198</v>
      </c>
      <c r="C143">
        <v>2</v>
      </c>
    </row>
    <row r="144" spans="1:3" x14ac:dyDescent="0.3">
      <c r="A144" s="9">
        <v>46032</v>
      </c>
      <c r="B144">
        <v>99</v>
      </c>
      <c r="C144">
        <v>1</v>
      </c>
    </row>
    <row r="145" spans="1:3" x14ac:dyDescent="0.3">
      <c r="A145" s="9">
        <v>46036</v>
      </c>
      <c r="B145">
        <v>1499</v>
      </c>
      <c r="C145">
        <v>1</v>
      </c>
    </row>
    <row r="146" spans="1:3" x14ac:dyDescent="0.3">
      <c r="A146" s="9">
        <v>46037</v>
      </c>
      <c r="B146">
        <v>49</v>
      </c>
      <c r="C146">
        <v>1</v>
      </c>
    </row>
    <row r="147" spans="1:3" x14ac:dyDescent="0.3">
      <c r="A147" s="9">
        <v>46042</v>
      </c>
      <c r="B147">
        <v>4999</v>
      </c>
      <c r="C147">
        <v>1</v>
      </c>
    </row>
    <row r="148" spans="1:3" x14ac:dyDescent="0.3">
      <c r="A148" s="9">
        <v>46043</v>
      </c>
      <c r="B148">
        <v>4999</v>
      </c>
      <c r="C148">
        <v>1</v>
      </c>
    </row>
    <row r="149" spans="1:3" x14ac:dyDescent="0.3">
      <c r="A149" s="9">
        <v>46046</v>
      </c>
      <c r="B149">
        <v>2999</v>
      </c>
      <c r="C149">
        <v>1</v>
      </c>
    </row>
    <row r="150" spans="1:3" x14ac:dyDescent="0.3">
      <c r="A150" s="9">
        <v>46048</v>
      </c>
      <c r="B150">
        <v>299</v>
      </c>
      <c r="C150">
        <v>1</v>
      </c>
    </row>
    <row r="151" spans="1:3" x14ac:dyDescent="0.3">
      <c r="A151" s="9">
        <v>46049</v>
      </c>
      <c r="B151">
        <v>99</v>
      </c>
      <c r="C151">
        <v>1</v>
      </c>
    </row>
    <row r="152" spans="1:3" x14ac:dyDescent="0.3">
      <c r="A152" s="9">
        <v>46050</v>
      </c>
      <c r="B152">
        <v>2999</v>
      </c>
      <c r="C152">
        <v>1</v>
      </c>
    </row>
    <row r="153" spans="1:3" x14ac:dyDescent="0.3">
      <c r="A153" s="8">
        <v>14</v>
      </c>
      <c r="B153">
        <v>6488</v>
      </c>
      <c r="C153">
        <v>12</v>
      </c>
    </row>
    <row r="154" spans="1:3" x14ac:dyDescent="0.3">
      <c r="A154" s="9">
        <v>46023</v>
      </c>
      <c r="B154">
        <v>299</v>
      </c>
      <c r="C154">
        <v>1</v>
      </c>
    </row>
    <row r="155" spans="1:3" x14ac:dyDescent="0.3">
      <c r="A155" s="9">
        <v>46024</v>
      </c>
      <c r="B155">
        <v>1499</v>
      </c>
      <c r="C155">
        <v>1</v>
      </c>
    </row>
    <row r="156" spans="1:3" x14ac:dyDescent="0.3">
      <c r="A156" s="9">
        <v>46025</v>
      </c>
      <c r="B156">
        <v>149</v>
      </c>
      <c r="C156">
        <v>1</v>
      </c>
    </row>
    <row r="157" spans="1:3" x14ac:dyDescent="0.3">
      <c r="A157" s="9">
        <v>46026</v>
      </c>
      <c r="B157">
        <v>99</v>
      </c>
      <c r="C157">
        <v>1</v>
      </c>
    </row>
    <row r="158" spans="1:3" x14ac:dyDescent="0.3">
      <c r="A158" s="9">
        <v>46027</v>
      </c>
      <c r="B158">
        <v>1499</v>
      </c>
      <c r="C158">
        <v>1</v>
      </c>
    </row>
    <row r="159" spans="1:3" x14ac:dyDescent="0.3">
      <c r="A159" s="9">
        <v>46029</v>
      </c>
      <c r="B159">
        <v>49</v>
      </c>
      <c r="C159">
        <v>1</v>
      </c>
    </row>
    <row r="160" spans="1:3" x14ac:dyDescent="0.3">
      <c r="A160" s="9">
        <v>46030</v>
      </c>
      <c r="B160">
        <v>799</v>
      </c>
      <c r="C160">
        <v>1</v>
      </c>
    </row>
    <row r="161" spans="1:3" x14ac:dyDescent="0.3">
      <c r="A161" s="9">
        <v>46040</v>
      </c>
      <c r="B161">
        <v>99</v>
      </c>
      <c r="C161">
        <v>1</v>
      </c>
    </row>
    <row r="162" spans="1:3" x14ac:dyDescent="0.3">
      <c r="A162" s="9">
        <v>46041</v>
      </c>
      <c r="B162">
        <v>99</v>
      </c>
      <c r="C162">
        <v>1</v>
      </c>
    </row>
    <row r="163" spans="1:3" x14ac:dyDescent="0.3">
      <c r="A163" s="9">
        <v>46042</v>
      </c>
      <c r="B163">
        <v>299</v>
      </c>
      <c r="C163">
        <v>1</v>
      </c>
    </row>
    <row r="164" spans="1:3" x14ac:dyDescent="0.3">
      <c r="A164" s="9">
        <v>46047</v>
      </c>
      <c r="B164">
        <v>1598</v>
      </c>
      <c r="C164">
        <v>2</v>
      </c>
    </row>
    <row r="165" spans="1:3" x14ac:dyDescent="0.3">
      <c r="A165" s="8">
        <v>15</v>
      </c>
      <c r="B165">
        <v>7838</v>
      </c>
      <c r="C165">
        <v>12</v>
      </c>
    </row>
    <row r="166" spans="1:3" x14ac:dyDescent="0.3">
      <c r="A166" s="9">
        <v>46023</v>
      </c>
      <c r="B166">
        <v>499</v>
      </c>
      <c r="C166">
        <v>1</v>
      </c>
    </row>
    <row r="167" spans="1:3" x14ac:dyDescent="0.3">
      <c r="A167" s="9">
        <v>46029</v>
      </c>
      <c r="B167">
        <v>49</v>
      </c>
      <c r="C167">
        <v>1</v>
      </c>
    </row>
    <row r="168" spans="1:3" x14ac:dyDescent="0.3">
      <c r="A168" s="9">
        <v>46032</v>
      </c>
      <c r="B168">
        <v>49</v>
      </c>
      <c r="C168">
        <v>1</v>
      </c>
    </row>
    <row r="169" spans="1:3" x14ac:dyDescent="0.3">
      <c r="A169" s="9">
        <v>46035</v>
      </c>
      <c r="B169">
        <v>299</v>
      </c>
      <c r="C169">
        <v>1</v>
      </c>
    </row>
    <row r="170" spans="1:3" x14ac:dyDescent="0.3">
      <c r="A170" s="9">
        <v>46036</v>
      </c>
      <c r="B170">
        <v>399</v>
      </c>
      <c r="C170">
        <v>1</v>
      </c>
    </row>
    <row r="171" spans="1:3" x14ac:dyDescent="0.3">
      <c r="A171" s="9">
        <v>46041</v>
      </c>
      <c r="B171">
        <v>499</v>
      </c>
      <c r="C171">
        <v>1</v>
      </c>
    </row>
    <row r="172" spans="1:3" x14ac:dyDescent="0.3">
      <c r="A172" s="9">
        <v>46046</v>
      </c>
      <c r="B172">
        <v>148</v>
      </c>
      <c r="C172">
        <v>2</v>
      </c>
    </row>
    <row r="173" spans="1:3" x14ac:dyDescent="0.3">
      <c r="A173" s="9">
        <v>46048</v>
      </c>
      <c r="B173">
        <v>4999</v>
      </c>
      <c r="C173">
        <v>1</v>
      </c>
    </row>
    <row r="174" spans="1:3" x14ac:dyDescent="0.3">
      <c r="A174" s="9">
        <v>46049</v>
      </c>
      <c r="B174">
        <v>799</v>
      </c>
      <c r="C174">
        <v>1</v>
      </c>
    </row>
    <row r="175" spans="1:3" x14ac:dyDescent="0.3">
      <c r="A175" s="9">
        <v>46051</v>
      </c>
      <c r="B175">
        <v>98</v>
      </c>
      <c r="C175">
        <v>2</v>
      </c>
    </row>
    <row r="176" spans="1:3" x14ac:dyDescent="0.3">
      <c r="A176" s="8">
        <v>16</v>
      </c>
      <c r="B176">
        <v>11130</v>
      </c>
      <c r="C176">
        <v>20</v>
      </c>
    </row>
    <row r="177" spans="1:3" x14ac:dyDescent="0.3">
      <c r="A177" s="9">
        <v>46024</v>
      </c>
      <c r="B177">
        <v>499</v>
      </c>
      <c r="C177">
        <v>1</v>
      </c>
    </row>
    <row r="178" spans="1:3" x14ac:dyDescent="0.3">
      <c r="A178" s="9">
        <v>46025</v>
      </c>
      <c r="B178">
        <v>99</v>
      </c>
      <c r="C178">
        <v>1</v>
      </c>
    </row>
    <row r="179" spans="1:3" x14ac:dyDescent="0.3">
      <c r="A179" s="9">
        <v>46026</v>
      </c>
      <c r="B179">
        <v>49</v>
      </c>
      <c r="C179">
        <v>1</v>
      </c>
    </row>
    <row r="180" spans="1:3" x14ac:dyDescent="0.3">
      <c r="A180" s="9">
        <v>46027</v>
      </c>
      <c r="B180">
        <v>149</v>
      </c>
      <c r="C180">
        <v>1</v>
      </c>
    </row>
    <row r="181" spans="1:3" x14ac:dyDescent="0.3">
      <c r="A181" s="9">
        <v>46033</v>
      </c>
      <c r="B181">
        <v>499</v>
      </c>
      <c r="C181">
        <v>1</v>
      </c>
    </row>
    <row r="182" spans="1:3" x14ac:dyDescent="0.3">
      <c r="A182" s="9">
        <v>46037</v>
      </c>
      <c r="B182">
        <v>2999</v>
      </c>
      <c r="C182">
        <v>1</v>
      </c>
    </row>
    <row r="183" spans="1:3" x14ac:dyDescent="0.3">
      <c r="A183" s="9">
        <v>46040</v>
      </c>
      <c r="B183">
        <v>49</v>
      </c>
      <c r="C183">
        <v>1</v>
      </c>
    </row>
    <row r="184" spans="1:3" x14ac:dyDescent="0.3">
      <c r="A184" s="9">
        <v>46042</v>
      </c>
      <c r="B184">
        <v>448</v>
      </c>
      <c r="C184">
        <v>2</v>
      </c>
    </row>
    <row r="185" spans="1:3" x14ac:dyDescent="0.3">
      <c r="A185" s="9">
        <v>46045</v>
      </c>
      <c r="B185">
        <v>399</v>
      </c>
      <c r="C185">
        <v>1</v>
      </c>
    </row>
    <row r="186" spans="1:3" x14ac:dyDescent="0.3">
      <c r="A186" s="9">
        <v>46046</v>
      </c>
      <c r="B186">
        <v>1548</v>
      </c>
      <c r="C186">
        <v>2</v>
      </c>
    </row>
    <row r="187" spans="1:3" x14ac:dyDescent="0.3">
      <c r="A187" s="9">
        <v>46047</v>
      </c>
      <c r="B187">
        <v>98</v>
      </c>
      <c r="C187">
        <v>2</v>
      </c>
    </row>
    <row r="188" spans="1:3" x14ac:dyDescent="0.3">
      <c r="A188" s="9">
        <v>46049</v>
      </c>
      <c r="B188">
        <v>348</v>
      </c>
      <c r="C188">
        <v>2</v>
      </c>
    </row>
    <row r="189" spans="1:3" x14ac:dyDescent="0.3">
      <c r="A189" s="9">
        <v>46050</v>
      </c>
      <c r="B189">
        <v>49</v>
      </c>
      <c r="C189">
        <v>1</v>
      </c>
    </row>
    <row r="190" spans="1:3" x14ac:dyDescent="0.3">
      <c r="A190" s="9">
        <v>46051</v>
      </c>
      <c r="B190">
        <v>2999</v>
      </c>
      <c r="C190">
        <v>1</v>
      </c>
    </row>
    <row r="191" spans="1:3" x14ac:dyDescent="0.3">
      <c r="A191" s="9">
        <v>46052</v>
      </c>
      <c r="B191">
        <v>898</v>
      </c>
      <c r="C191">
        <v>2</v>
      </c>
    </row>
    <row r="192" spans="1:3" x14ac:dyDescent="0.3">
      <c r="A192" s="8">
        <v>17</v>
      </c>
      <c r="B192">
        <v>13037</v>
      </c>
      <c r="C192">
        <v>13</v>
      </c>
    </row>
    <row r="193" spans="1:3" x14ac:dyDescent="0.3">
      <c r="A193" s="9">
        <v>46023</v>
      </c>
      <c r="B193">
        <v>1499</v>
      </c>
      <c r="C193">
        <v>1</v>
      </c>
    </row>
    <row r="194" spans="1:3" x14ac:dyDescent="0.3">
      <c r="A194" s="9">
        <v>46024</v>
      </c>
      <c r="B194">
        <v>299</v>
      </c>
      <c r="C194">
        <v>1</v>
      </c>
    </row>
    <row r="195" spans="1:3" x14ac:dyDescent="0.3">
      <c r="A195" s="9">
        <v>46025</v>
      </c>
      <c r="B195">
        <v>398</v>
      </c>
      <c r="C195">
        <v>2</v>
      </c>
    </row>
    <row r="196" spans="1:3" x14ac:dyDescent="0.3">
      <c r="A196" s="9">
        <v>46033</v>
      </c>
      <c r="B196">
        <v>7998</v>
      </c>
      <c r="C196">
        <v>2</v>
      </c>
    </row>
    <row r="197" spans="1:3" x14ac:dyDescent="0.3">
      <c r="A197" s="9">
        <v>46034</v>
      </c>
      <c r="B197">
        <v>1499</v>
      </c>
      <c r="C197">
        <v>1</v>
      </c>
    </row>
    <row r="198" spans="1:3" x14ac:dyDescent="0.3">
      <c r="A198" s="9">
        <v>46039</v>
      </c>
      <c r="B198">
        <v>299</v>
      </c>
      <c r="C198">
        <v>1</v>
      </c>
    </row>
    <row r="199" spans="1:3" x14ac:dyDescent="0.3">
      <c r="A199" s="9">
        <v>46040</v>
      </c>
      <c r="B199">
        <v>198</v>
      </c>
      <c r="C199">
        <v>2</v>
      </c>
    </row>
    <row r="200" spans="1:3" x14ac:dyDescent="0.3">
      <c r="A200" s="9">
        <v>46041</v>
      </c>
      <c r="B200">
        <v>49</v>
      </c>
      <c r="C200">
        <v>1</v>
      </c>
    </row>
    <row r="201" spans="1:3" x14ac:dyDescent="0.3">
      <c r="A201" s="9">
        <v>46050</v>
      </c>
      <c r="B201">
        <v>299</v>
      </c>
      <c r="C201">
        <v>1</v>
      </c>
    </row>
    <row r="202" spans="1:3" x14ac:dyDescent="0.3">
      <c r="A202" s="9">
        <v>46052</v>
      </c>
      <c r="B202">
        <v>499</v>
      </c>
      <c r="C202">
        <v>1</v>
      </c>
    </row>
    <row r="203" spans="1:3" x14ac:dyDescent="0.3">
      <c r="A203" s="8">
        <v>18</v>
      </c>
      <c r="B203">
        <v>7089</v>
      </c>
      <c r="C203">
        <v>11</v>
      </c>
    </row>
    <row r="204" spans="1:3" x14ac:dyDescent="0.3">
      <c r="A204" s="9">
        <v>46028</v>
      </c>
      <c r="B204">
        <v>499</v>
      </c>
      <c r="C204">
        <v>1</v>
      </c>
    </row>
    <row r="205" spans="1:3" x14ac:dyDescent="0.3">
      <c r="A205" s="9">
        <v>46033</v>
      </c>
      <c r="B205">
        <v>799</v>
      </c>
      <c r="C205">
        <v>1</v>
      </c>
    </row>
    <row r="206" spans="1:3" x14ac:dyDescent="0.3">
      <c r="A206" s="9">
        <v>46034</v>
      </c>
      <c r="B206">
        <v>49</v>
      </c>
      <c r="C206">
        <v>1</v>
      </c>
    </row>
    <row r="207" spans="1:3" x14ac:dyDescent="0.3">
      <c r="A207" s="9">
        <v>46036</v>
      </c>
      <c r="B207">
        <v>149</v>
      </c>
      <c r="C207">
        <v>1</v>
      </c>
    </row>
    <row r="208" spans="1:3" x14ac:dyDescent="0.3">
      <c r="A208" s="9">
        <v>46037</v>
      </c>
      <c r="B208">
        <v>149</v>
      </c>
      <c r="C208">
        <v>1</v>
      </c>
    </row>
    <row r="209" spans="1:3" x14ac:dyDescent="0.3">
      <c r="A209" s="9">
        <v>46038</v>
      </c>
      <c r="B209">
        <v>3148</v>
      </c>
      <c r="C209">
        <v>2</v>
      </c>
    </row>
    <row r="210" spans="1:3" x14ac:dyDescent="0.3">
      <c r="A210" s="9">
        <v>46040</v>
      </c>
      <c r="B210">
        <v>499</v>
      </c>
      <c r="C210">
        <v>1</v>
      </c>
    </row>
    <row r="211" spans="1:3" x14ac:dyDescent="0.3">
      <c r="A211" s="9">
        <v>46042</v>
      </c>
      <c r="B211">
        <v>149</v>
      </c>
      <c r="C211">
        <v>1</v>
      </c>
    </row>
    <row r="212" spans="1:3" x14ac:dyDescent="0.3">
      <c r="A212" s="9">
        <v>46047</v>
      </c>
      <c r="B212">
        <v>1648</v>
      </c>
      <c r="C212">
        <v>2</v>
      </c>
    </row>
    <row r="213" spans="1:3" x14ac:dyDescent="0.3">
      <c r="A213" s="8">
        <v>19</v>
      </c>
      <c r="B213">
        <v>12836</v>
      </c>
      <c r="C213">
        <v>14</v>
      </c>
    </row>
    <row r="214" spans="1:3" x14ac:dyDescent="0.3">
      <c r="A214" s="9">
        <v>46024</v>
      </c>
      <c r="B214">
        <v>149</v>
      </c>
      <c r="C214">
        <v>1</v>
      </c>
    </row>
    <row r="215" spans="1:3" x14ac:dyDescent="0.3">
      <c r="A215" s="9">
        <v>46028</v>
      </c>
      <c r="B215">
        <v>499</v>
      </c>
      <c r="C215">
        <v>1</v>
      </c>
    </row>
    <row r="216" spans="1:3" x14ac:dyDescent="0.3">
      <c r="A216" s="9">
        <v>46031</v>
      </c>
      <c r="B216">
        <v>99</v>
      </c>
      <c r="C216">
        <v>1</v>
      </c>
    </row>
    <row r="217" spans="1:3" x14ac:dyDescent="0.3">
      <c r="A217" s="9">
        <v>46032</v>
      </c>
      <c r="B217">
        <v>2999</v>
      </c>
      <c r="C217">
        <v>1</v>
      </c>
    </row>
    <row r="218" spans="1:3" x14ac:dyDescent="0.3">
      <c r="A218" s="9">
        <v>46037</v>
      </c>
      <c r="B218">
        <v>398</v>
      </c>
      <c r="C218">
        <v>2</v>
      </c>
    </row>
    <row r="219" spans="1:3" x14ac:dyDescent="0.3">
      <c r="A219" s="9">
        <v>46038</v>
      </c>
      <c r="B219">
        <v>4999</v>
      </c>
      <c r="C219">
        <v>1</v>
      </c>
    </row>
    <row r="220" spans="1:3" x14ac:dyDescent="0.3">
      <c r="A220" s="9">
        <v>46041</v>
      </c>
      <c r="B220">
        <v>99</v>
      </c>
      <c r="C220">
        <v>1</v>
      </c>
    </row>
    <row r="221" spans="1:3" x14ac:dyDescent="0.3">
      <c r="A221" s="9">
        <v>46042</v>
      </c>
      <c r="B221">
        <v>348</v>
      </c>
      <c r="C221">
        <v>2</v>
      </c>
    </row>
    <row r="222" spans="1:3" x14ac:dyDescent="0.3">
      <c r="A222" s="9">
        <v>46044</v>
      </c>
      <c r="B222">
        <v>2999</v>
      </c>
      <c r="C222">
        <v>1</v>
      </c>
    </row>
    <row r="223" spans="1:3" x14ac:dyDescent="0.3">
      <c r="A223" s="9">
        <v>46046</v>
      </c>
      <c r="B223">
        <v>149</v>
      </c>
      <c r="C223">
        <v>1</v>
      </c>
    </row>
    <row r="224" spans="1:3" x14ac:dyDescent="0.3">
      <c r="A224" s="9">
        <v>46047</v>
      </c>
      <c r="B224">
        <v>49</v>
      </c>
      <c r="C224">
        <v>1</v>
      </c>
    </row>
    <row r="225" spans="1:3" x14ac:dyDescent="0.3">
      <c r="A225" s="9">
        <v>46048</v>
      </c>
      <c r="B225">
        <v>49</v>
      </c>
      <c r="C225">
        <v>1</v>
      </c>
    </row>
    <row r="226" spans="1:3" x14ac:dyDescent="0.3">
      <c r="A226" s="8">
        <v>20</v>
      </c>
      <c r="B226">
        <v>4241</v>
      </c>
      <c r="C226">
        <v>9</v>
      </c>
    </row>
    <row r="227" spans="1:3" x14ac:dyDescent="0.3">
      <c r="A227" s="9">
        <v>46024</v>
      </c>
      <c r="B227">
        <v>49</v>
      </c>
      <c r="C227">
        <v>1</v>
      </c>
    </row>
    <row r="228" spans="1:3" x14ac:dyDescent="0.3">
      <c r="A228" s="9">
        <v>46025</v>
      </c>
      <c r="B228">
        <v>348</v>
      </c>
      <c r="C228">
        <v>2</v>
      </c>
    </row>
    <row r="229" spans="1:3" x14ac:dyDescent="0.3">
      <c r="A229" s="9">
        <v>46026</v>
      </c>
      <c r="B229">
        <v>2999</v>
      </c>
      <c r="C229">
        <v>1</v>
      </c>
    </row>
    <row r="230" spans="1:3" x14ac:dyDescent="0.3">
      <c r="A230" s="9">
        <v>46032</v>
      </c>
      <c r="B230">
        <v>149</v>
      </c>
      <c r="C230">
        <v>1</v>
      </c>
    </row>
    <row r="231" spans="1:3" x14ac:dyDescent="0.3">
      <c r="A231" s="9">
        <v>46043</v>
      </c>
      <c r="B231">
        <v>99</v>
      </c>
      <c r="C231">
        <v>1</v>
      </c>
    </row>
    <row r="232" spans="1:3" x14ac:dyDescent="0.3">
      <c r="A232" s="9">
        <v>46045</v>
      </c>
      <c r="B232">
        <v>49</v>
      </c>
      <c r="C232">
        <v>1</v>
      </c>
    </row>
    <row r="233" spans="1:3" x14ac:dyDescent="0.3">
      <c r="A233" s="9">
        <v>46046</v>
      </c>
      <c r="B233">
        <v>49</v>
      </c>
      <c r="C233">
        <v>1</v>
      </c>
    </row>
    <row r="234" spans="1:3" x14ac:dyDescent="0.3">
      <c r="A234" s="9">
        <v>46051</v>
      </c>
      <c r="B234">
        <v>499</v>
      </c>
      <c r="C234">
        <v>1</v>
      </c>
    </row>
    <row r="235" spans="1:3" x14ac:dyDescent="0.3">
      <c r="A235" s="8">
        <v>21</v>
      </c>
      <c r="B235">
        <v>8886</v>
      </c>
      <c r="C235">
        <v>14</v>
      </c>
    </row>
    <row r="236" spans="1:3" x14ac:dyDescent="0.3">
      <c r="A236" s="9">
        <v>46023</v>
      </c>
      <c r="B236">
        <v>5298</v>
      </c>
      <c r="C236">
        <v>2</v>
      </c>
    </row>
    <row r="237" spans="1:3" x14ac:dyDescent="0.3">
      <c r="A237" s="9">
        <v>46027</v>
      </c>
      <c r="B237">
        <v>499</v>
      </c>
      <c r="C237">
        <v>1</v>
      </c>
    </row>
    <row r="238" spans="1:3" x14ac:dyDescent="0.3">
      <c r="A238" s="9">
        <v>46031</v>
      </c>
      <c r="B238">
        <v>499</v>
      </c>
      <c r="C238">
        <v>1</v>
      </c>
    </row>
    <row r="239" spans="1:3" x14ac:dyDescent="0.3">
      <c r="A239" s="9">
        <v>46036</v>
      </c>
      <c r="B239">
        <v>49</v>
      </c>
      <c r="C239">
        <v>1</v>
      </c>
    </row>
    <row r="240" spans="1:3" x14ac:dyDescent="0.3">
      <c r="A240" s="9">
        <v>46037</v>
      </c>
      <c r="B240">
        <v>299</v>
      </c>
      <c r="C240">
        <v>1</v>
      </c>
    </row>
    <row r="241" spans="1:3" x14ac:dyDescent="0.3">
      <c r="A241" s="9">
        <v>46038</v>
      </c>
      <c r="B241">
        <v>799</v>
      </c>
      <c r="C241">
        <v>1</v>
      </c>
    </row>
    <row r="242" spans="1:3" x14ac:dyDescent="0.3">
      <c r="A242" s="9">
        <v>46040</v>
      </c>
      <c r="B242">
        <v>799</v>
      </c>
      <c r="C242">
        <v>1</v>
      </c>
    </row>
    <row r="243" spans="1:3" x14ac:dyDescent="0.3">
      <c r="A243" s="9">
        <v>46041</v>
      </c>
      <c r="B243">
        <v>99</v>
      </c>
      <c r="C243">
        <v>1</v>
      </c>
    </row>
    <row r="244" spans="1:3" x14ac:dyDescent="0.3">
      <c r="A244" s="9">
        <v>46042</v>
      </c>
      <c r="B244">
        <v>49</v>
      </c>
      <c r="C244">
        <v>1</v>
      </c>
    </row>
    <row r="245" spans="1:3" x14ac:dyDescent="0.3">
      <c r="A245" s="9">
        <v>46043</v>
      </c>
      <c r="B245">
        <v>49</v>
      </c>
      <c r="C245">
        <v>1</v>
      </c>
    </row>
    <row r="246" spans="1:3" x14ac:dyDescent="0.3">
      <c r="A246" s="9">
        <v>46047</v>
      </c>
      <c r="B246">
        <v>299</v>
      </c>
      <c r="C246">
        <v>1</v>
      </c>
    </row>
    <row r="247" spans="1:3" x14ac:dyDescent="0.3">
      <c r="A247" s="9">
        <v>46048</v>
      </c>
      <c r="B247">
        <v>99</v>
      </c>
      <c r="C247">
        <v>1</v>
      </c>
    </row>
    <row r="248" spans="1:3" x14ac:dyDescent="0.3">
      <c r="A248" s="9">
        <v>46049</v>
      </c>
      <c r="B248">
        <v>49</v>
      </c>
      <c r="C248">
        <v>1</v>
      </c>
    </row>
    <row r="249" spans="1:3" x14ac:dyDescent="0.3">
      <c r="A249" s="8">
        <v>22</v>
      </c>
      <c r="B249">
        <v>12534</v>
      </c>
      <c r="C249">
        <v>16</v>
      </c>
    </row>
    <row r="250" spans="1:3" x14ac:dyDescent="0.3">
      <c r="A250" s="9">
        <v>46023</v>
      </c>
      <c r="B250">
        <v>799</v>
      </c>
      <c r="C250">
        <v>1</v>
      </c>
    </row>
    <row r="251" spans="1:3" x14ac:dyDescent="0.3">
      <c r="A251" s="9">
        <v>46027</v>
      </c>
      <c r="B251">
        <v>448</v>
      </c>
      <c r="C251">
        <v>2</v>
      </c>
    </row>
    <row r="252" spans="1:3" x14ac:dyDescent="0.3">
      <c r="A252" s="9">
        <v>46029</v>
      </c>
      <c r="B252">
        <v>499</v>
      </c>
      <c r="C252">
        <v>1</v>
      </c>
    </row>
    <row r="253" spans="1:3" x14ac:dyDescent="0.3">
      <c r="A253" s="9">
        <v>46032</v>
      </c>
      <c r="B253">
        <v>499</v>
      </c>
      <c r="C253">
        <v>1</v>
      </c>
    </row>
    <row r="254" spans="1:3" x14ac:dyDescent="0.3">
      <c r="A254" s="9">
        <v>46033</v>
      </c>
      <c r="B254">
        <v>299</v>
      </c>
      <c r="C254">
        <v>1</v>
      </c>
    </row>
    <row r="255" spans="1:3" x14ac:dyDescent="0.3">
      <c r="A255" s="9">
        <v>46034</v>
      </c>
      <c r="B255">
        <v>1697</v>
      </c>
      <c r="C255">
        <v>3</v>
      </c>
    </row>
    <row r="256" spans="1:3" x14ac:dyDescent="0.3">
      <c r="A256" s="9">
        <v>46035</v>
      </c>
      <c r="B256">
        <v>5798</v>
      </c>
      <c r="C256">
        <v>2</v>
      </c>
    </row>
    <row r="257" spans="1:3" x14ac:dyDescent="0.3">
      <c r="A257" s="9">
        <v>46036</v>
      </c>
      <c r="B257">
        <v>799</v>
      </c>
      <c r="C257">
        <v>1</v>
      </c>
    </row>
    <row r="258" spans="1:3" x14ac:dyDescent="0.3">
      <c r="A258" s="9">
        <v>46039</v>
      </c>
      <c r="B258">
        <v>1598</v>
      </c>
      <c r="C258">
        <v>2</v>
      </c>
    </row>
    <row r="259" spans="1:3" x14ac:dyDescent="0.3">
      <c r="A259" s="9">
        <v>46045</v>
      </c>
      <c r="B259">
        <v>49</v>
      </c>
      <c r="C259">
        <v>1</v>
      </c>
    </row>
    <row r="260" spans="1:3" x14ac:dyDescent="0.3">
      <c r="A260" s="9">
        <v>46051</v>
      </c>
      <c r="B260">
        <v>49</v>
      </c>
      <c r="C260">
        <v>1</v>
      </c>
    </row>
    <row r="261" spans="1:3" x14ac:dyDescent="0.3">
      <c r="A261" s="8">
        <v>23</v>
      </c>
      <c r="B261">
        <v>3040</v>
      </c>
      <c r="C261">
        <v>10</v>
      </c>
    </row>
    <row r="262" spans="1:3" x14ac:dyDescent="0.3">
      <c r="A262" s="9">
        <v>46030</v>
      </c>
      <c r="B262">
        <v>99</v>
      </c>
      <c r="C262">
        <v>1</v>
      </c>
    </row>
    <row r="263" spans="1:3" x14ac:dyDescent="0.3">
      <c r="A263" s="9">
        <v>46031</v>
      </c>
      <c r="B263">
        <v>399</v>
      </c>
      <c r="C263">
        <v>1</v>
      </c>
    </row>
    <row r="264" spans="1:3" x14ac:dyDescent="0.3">
      <c r="A264" s="9">
        <v>46034</v>
      </c>
      <c r="B264">
        <v>149</v>
      </c>
      <c r="C264">
        <v>1</v>
      </c>
    </row>
    <row r="265" spans="1:3" x14ac:dyDescent="0.3">
      <c r="A265" s="9">
        <v>46039</v>
      </c>
      <c r="B265">
        <v>49</v>
      </c>
      <c r="C265">
        <v>1</v>
      </c>
    </row>
    <row r="266" spans="1:3" x14ac:dyDescent="0.3">
      <c r="A266" s="9">
        <v>46040</v>
      </c>
      <c r="B266">
        <v>1999</v>
      </c>
      <c r="C266">
        <v>1</v>
      </c>
    </row>
    <row r="267" spans="1:3" x14ac:dyDescent="0.3">
      <c r="A267" s="9">
        <v>46044</v>
      </c>
      <c r="B267">
        <v>49</v>
      </c>
      <c r="C267">
        <v>1</v>
      </c>
    </row>
    <row r="268" spans="1:3" x14ac:dyDescent="0.3">
      <c r="A268" s="9">
        <v>46045</v>
      </c>
      <c r="B268">
        <v>247</v>
      </c>
      <c r="C268">
        <v>3</v>
      </c>
    </row>
    <row r="269" spans="1:3" x14ac:dyDescent="0.3">
      <c r="A269" s="9">
        <v>46048</v>
      </c>
      <c r="B269">
        <v>49</v>
      </c>
      <c r="C269">
        <v>1</v>
      </c>
    </row>
    <row r="270" spans="1:3" x14ac:dyDescent="0.3">
      <c r="A270" s="8">
        <v>24</v>
      </c>
      <c r="B270">
        <v>3587</v>
      </c>
      <c r="C270">
        <v>13</v>
      </c>
    </row>
    <row r="271" spans="1:3" x14ac:dyDescent="0.3">
      <c r="A271" s="9">
        <v>46025</v>
      </c>
      <c r="B271">
        <v>49</v>
      </c>
      <c r="C271">
        <v>1</v>
      </c>
    </row>
    <row r="272" spans="1:3" x14ac:dyDescent="0.3">
      <c r="A272" s="9">
        <v>46026</v>
      </c>
      <c r="B272">
        <v>149</v>
      </c>
      <c r="C272">
        <v>1</v>
      </c>
    </row>
    <row r="273" spans="1:3" x14ac:dyDescent="0.3">
      <c r="A273" s="9">
        <v>46029</v>
      </c>
      <c r="B273">
        <v>299</v>
      </c>
      <c r="C273">
        <v>1</v>
      </c>
    </row>
    <row r="274" spans="1:3" x14ac:dyDescent="0.3">
      <c r="A274" s="9">
        <v>46033</v>
      </c>
      <c r="B274">
        <v>799</v>
      </c>
      <c r="C274">
        <v>1</v>
      </c>
    </row>
    <row r="275" spans="1:3" x14ac:dyDescent="0.3">
      <c r="A275" s="9">
        <v>46034</v>
      </c>
      <c r="B275">
        <v>149</v>
      </c>
      <c r="C275">
        <v>1</v>
      </c>
    </row>
    <row r="276" spans="1:3" x14ac:dyDescent="0.3">
      <c r="A276" s="9">
        <v>46036</v>
      </c>
      <c r="B276">
        <v>499</v>
      </c>
      <c r="C276">
        <v>1</v>
      </c>
    </row>
    <row r="277" spans="1:3" x14ac:dyDescent="0.3">
      <c r="A277" s="9">
        <v>46042</v>
      </c>
      <c r="B277">
        <v>299</v>
      </c>
      <c r="C277">
        <v>1</v>
      </c>
    </row>
    <row r="278" spans="1:3" x14ac:dyDescent="0.3">
      <c r="A278" s="9">
        <v>46043</v>
      </c>
      <c r="B278">
        <v>799</v>
      </c>
      <c r="C278">
        <v>1</v>
      </c>
    </row>
    <row r="279" spans="1:3" x14ac:dyDescent="0.3">
      <c r="A279" s="9">
        <v>46044</v>
      </c>
      <c r="B279">
        <v>49</v>
      </c>
      <c r="C279">
        <v>1</v>
      </c>
    </row>
    <row r="280" spans="1:3" x14ac:dyDescent="0.3">
      <c r="A280" s="9">
        <v>46046</v>
      </c>
      <c r="B280">
        <v>148</v>
      </c>
      <c r="C280">
        <v>2</v>
      </c>
    </row>
    <row r="281" spans="1:3" x14ac:dyDescent="0.3">
      <c r="A281" s="9">
        <v>46048</v>
      </c>
      <c r="B281">
        <v>348</v>
      </c>
      <c r="C281">
        <v>2</v>
      </c>
    </row>
    <row r="282" spans="1:3" x14ac:dyDescent="0.3">
      <c r="A282" s="8">
        <v>25</v>
      </c>
      <c r="B282">
        <v>15533</v>
      </c>
      <c r="C282">
        <v>17</v>
      </c>
    </row>
    <row r="283" spans="1:3" x14ac:dyDescent="0.3">
      <c r="A283" s="9">
        <v>46024</v>
      </c>
      <c r="B283">
        <v>99</v>
      </c>
      <c r="C283">
        <v>1</v>
      </c>
    </row>
    <row r="284" spans="1:3" x14ac:dyDescent="0.3">
      <c r="A284" s="9">
        <v>46027</v>
      </c>
      <c r="B284">
        <v>4498</v>
      </c>
      <c r="C284">
        <v>2</v>
      </c>
    </row>
    <row r="285" spans="1:3" x14ac:dyDescent="0.3">
      <c r="A285" s="9">
        <v>46028</v>
      </c>
      <c r="B285">
        <v>898</v>
      </c>
      <c r="C285">
        <v>2</v>
      </c>
    </row>
    <row r="286" spans="1:3" x14ac:dyDescent="0.3">
      <c r="A286" s="9">
        <v>46033</v>
      </c>
      <c r="B286">
        <v>799</v>
      </c>
      <c r="C286">
        <v>1</v>
      </c>
    </row>
    <row r="287" spans="1:3" x14ac:dyDescent="0.3">
      <c r="A287" s="9">
        <v>46035</v>
      </c>
      <c r="B287">
        <v>49</v>
      </c>
      <c r="C287">
        <v>1</v>
      </c>
    </row>
    <row r="288" spans="1:3" x14ac:dyDescent="0.3">
      <c r="A288" s="9">
        <v>46037</v>
      </c>
      <c r="B288">
        <v>49</v>
      </c>
      <c r="C288">
        <v>1</v>
      </c>
    </row>
    <row r="289" spans="1:3" x14ac:dyDescent="0.3">
      <c r="A289" s="9">
        <v>46038</v>
      </c>
      <c r="B289">
        <v>799</v>
      </c>
      <c r="C289">
        <v>1</v>
      </c>
    </row>
    <row r="290" spans="1:3" x14ac:dyDescent="0.3">
      <c r="A290" s="9">
        <v>46041</v>
      </c>
      <c r="B290">
        <v>4498</v>
      </c>
      <c r="C290">
        <v>2</v>
      </c>
    </row>
    <row r="291" spans="1:3" x14ac:dyDescent="0.3">
      <c r="A291" s="9">
        <v>46046</v>
      </c>
      <c r="B291">
        <v>497</v>
      </c>
      <c r="C291">
        <v>3</v>
      </c>
    </row>
    <row r="292" spans="1:3" x14ac:dyDescent="0.3">
      <c r="A292" s="9">
        <v>46050</v>
      </c>
      <c r="B292">
        <v>299</v>
      </c>
      <c r="C292">
        <v>1</v>
      </c>
    </row>
    <row r="293" spans="1:3" x14ac:dyDescent="0.3">
      <c r="A293" s="9">
        <v>46051</v>
      </c>
      <c r="B293">
        <v>3048</v>
      </c>
      <c r="C293">
        <v>2</v>
      </c>
    </row>
    <row r="294" spans="1:3" x14ac:dyDescent="0.3">
      <c r="A294" s="8">
        <v>26</v>
      </c>
      <c r="B294">
        <v>5188</v>
      </c>
      <c r="C294">
        <v>12</v>
      </c>
    </row>
    <row r="295" spans="1:3" x14ac:dyDescent="0.3">
      <c r="A295" s="9">
        <v>46024</v>
      </c>
      <c r="B295">
        <v>399</v>
      </c>
      <c r="C295">
        <v>1</v>
      </c>
    </row>
    <row r="296" spans="1:3" x14ac:dyDescent="0.3">
      <c r="A296" s="9">
        <v>46025</v>
      </c>
      <c r="B296">
        <v>99</v>
      </c>
      <c r="C296">
        <v>1</v>
      </c>
    </row>
    <row r="297" spans="1:3" x14ac:dyDescent="0.3">
      <c r="A297" s="9">
        <v>46028</v>
      </c>
      <c r="B297">
        <v>49</v>
      </c>
      <c r="C297">
        <v>1</v>
      </c>
    </row>
    <row r="298" spans="1:3" x14ac:dyDescent="0.3">
      <c r="A298" s="9">
        <v>46032</v>
      </c>
      <c r="B298">
        <v>299</v>
      </c>
      <c r="C298">
        <v>1</v>
      </c>
    </row>
    <row r="299" spans="1:3" x14ac:dyDescent="0.3">
      <c r="A299" s="9">
        <v>46034</v>
      </c>
      <c r="B299">
        <v>299</v>
      </c>
      <c r="C299">
        <v>1</v>
      </c>
    </row>
    <row r="300" spans="1:3" x14ac:dyDescent="0.3">
      <c r="A300" s="9">
        <v>46036</v>
      </c>
      <c r="B300">
        <v>299</v>
      </c>
      <c r="C300">
        <v>1</v>
      </c>
    </row>
    <row r="301" spans="1:3" x14ac:dyDescent="0.3">
      <c r="A301" s="9">
        <v>46044</v>
      </c>
      <c r="B301">
        <v>499</v>
      </c>
      <c r="C301">
        <v>1</v>
      </c>
    </row>
    <row r="302" spans="1:3" x14ac:dyDescent="0.3">
      <c r="A302" s="9">
        <v>46045</v>
      </c>
      <c r="B302">
        <v>99</v>
      </c>
      <c r="C302">
        <v>1</v>
      </c>
    </row>
    <row r="303" spans="1:3" x14ac:dyDescent="0.3">
      <c r="A303" s="9">
        <v>46050</v>
      </c>
      <c r="B303">
        <v>1499</v>
      </c>
      <c r="C303">
        <v>1</v>
      </c>
    </row>
    <row r="304" spans="1:3" x14ac:dyDescent="0.3">
      <c r="A304" s="9">
        <v>46051</v>
      </c>
      <c r="B304">
        <v>148</v>
      </c>
      <c r="C304">
        <v>2</v>
      </c>
    </row>
    <row r="305" spans="1:3" x14ac:dyDescent="0.3">
      <c r="A305" s="9">
        <v>46052</v>
      </c>
      <c r="B305">
        <v>1499</v>
      </c>
      <c r="C305">
        <v>1</v>
      </c>
    </row>
    <row r="306" spans="1:3" x14ac:dyDescent="0.3">
      <c r="A306" s="8">
        <v>27</v>
      </c>
      <c r="B306">
        <v>13584</v>
      </c>
      <c r="C306">
        <v>16</v>
      </c>
    </row>
    <row r="307" spans="1:3" x14ac:dyDescent="0.3">
      <c r="A307" s="9">
        <v>46023</v>
      </c>
      <c r="B307">
        <v>149</v>
      </c>
      <c r="C307">
        <v>1</v>
      </c>
    </row>
    <row r="308" spans="1:3" x14ac:dyDescent="0.3">
      <c r="A308" s="9">
        <v>46026</v>
      </c>
      <c r="B308">
        <v>49</v>
      </c>
      <c r="C308">
        <v>1</v>
      </c>
    </row>
    <row r="309" spans="1:3" x14ac:dyDescent="0.3">
      <c r="A309" s="9">
        <v>46032</v>
      </c>
      <c r="B309">
        <v>149</v>
      </c>
      <c r="C309">
        <v>1</v>
      </c>
    </row>
    <row r="310" spans="1:3" x14ac:dyDescent="0.3">
      <c r="A310" s="9">
        <v>46034</v>
      </c>
      <c r="B310">
        <v>299</v>
      </c>
      <c r="C310">
        <v>1</v>
      </c>
    </row>
    <row r="311" spans="1:3" x14ac:dyDescent="0.3">
      <c r="A311" s="9">
        <v>46036</v>
      </c>
      <c r="B311">
        <v>149</v>
      </c>
      <c r="C311">
        <v>1</v>
      </c>
    </row>
    <row r="312" spans="1:3" x14ac:dyDescent="0.3">
      <c r="A312" s="9">
        <v>46037</v>
      </c>
      <c r="B312">
        <v>1499</v>
      </c>
      <c r="C312">
        <v>1</v>
      </c>
    </row>
    <row r="313" spans="1:3" x14ac:dyDescent="0.3">
      <c r="A313" s="9">
        <v>46039</v>
      </c>
      <c r="B313">
        <v>1597</v>
      </c>
      <c r="C313">
        <v>3</v>
      </c>
    </row>
    <row r="314" spans="1:3" x14ac:dyDescent="0.3">
      <c r="A314" s="9">
        <v>46041</v>
      </c>
      <c r="B314">
        <v>49</v>
      </c>
      <c r="C314">
        <v>1</v>
      </c>
    </row>
    <row r="315" spans="1:3" x14ac:dyDescent="0.3">
      <c r="A315" s="9">
        <v>46042</v>
      </c>
      <c r="B315">
        <v>4999</v>
      </c>
      <c r="C315">
        <v>1</v>
      </c>
    </row>
    <row r="316" spans="1:3" x14ac:dyDescent="0.3">
      <c r="A316" s="9">
        <v>46043</v>
      </c>
      <c r="B316">
        <v>499</v>
      </c>
      <c r="C316">
        <v>1</v>
      </c>
    </row>
    <row r="317" spans="1:3" x14ac:dyDescent="0.3">
      <c r="A317" s="9">
        <v>46044</v>
      </c>
      <c r="B317">
        <v>49</v>
      </c>
      <c r="C317">
        <v>1</v>
      </c>
    </row>
    <row r="318" spans="1:3" x14ac:dyDescent="0.3">
      <c r="A318" s="9">
        <v>46045</v>
      </c>
      <c r="B318">
        <v>3998</v>
      </c>
      <c r="C318">
        <v>2</v>
      </c>
    </row>
    <row r="319" spans="1:3" x14ac:dyDescent="0.3">
      <c r="A319" s="9">
        <v>46046</v>
      </c>
      <c r="B319">
        <v>99</v>
      </c>
      <c r="C319">
        <v>1</v>
      </c>
    </row>
    <row r="320" spans="1:3" x14ac:dyDescent="0.3">
      <c r="A320" s="8">
        <v>28</v>
      </c>
      <c r="B320">
        <v>9540</v>
      </c>
      <c r="C320">
        <v>10</v>
      </c>
    </row>
    <row r="321" spans="1:3" x14ac:dyDescent="0.3">
      <c r="A321" s="9">
        <v>46030</v>
      </c>
      <c r="B321">
        <v>49</v>
      </c>
      <c r="C321">
        <v>1</v>
      </c>
    </row>
    <row r="322" spans="1:3" x14ac:dyDescent="0.3">
      <c r="A322" s="9">
        <v>46031</v>
      </c>
      <c r="B322">
        <v>2999</v>
      </c>
      <c r="C322">
        <v>1</v>
      </c>
    </row>
    <row r="323" spans="1:3" x14ac:dyDescent="0.3">
      <c r="A323" s="9">
        <v>46032</v>
      </c>
      <c r="B323">
        <v>499</v>
      </c>
      <c r="C323">
        <v>1</v>
      </c>
    </row>
    <row r="324" spans="1:3" x14ac:dyDescent="0.3">
      <c r="A324" s="9">
        <v>46033</v>
      </c>
      <c r="B324">
        <v>49</v>
      </c>
      <c r="C324">
        <v>1</v>
      </c>
    </row>
    <row r="325" spans="1:3" x14ac:dyDescent="0.3">
      <c r="A325" s="9">
        <v>46036</v>
      </c>
      <c r="B325">
        <v>49</v>
      </c>
      <c r="C325">
        <v>1</v>
      </c>
    </row>
    <row r="326" spans="1:3" x14ac:dyDescent="0.3">
      <c r="A326" s="9">
        <v>46037</v>
      </c>
      <c r="B326">
        <v>2999</v>
      </c>
      <c r="C326">
        <v>1</v>
      </c>
    </row>
    <row r="327" spans="1:3" x14ac:dyDescent="0.3">
      <c r="A327" s="9">
        <v>46038</v>
      </c>
      <c r="B327">
        <v>299</v>
      </c>
      <c r="C327">
        <v>1</v>
      </c>
    </row>
    <row r="328" spans="1:3" x14ac:dyDescent="0.3">
      <c r="A328" s="9">
        <v>46043</v>
      </c>
      <c r="B328">
        <v>1999</v>
      </c>
      <c r="C328">
        <v>1</v>
      </c>
    </row>
    <row r="329" spans="1:3" x14ac:dyDescent="0.3">
      <c r="A329" s="9">
        <v>46044</v>
      </c>
      <c r="B329">
        <v>99</v>
      </c>
      <c r="C329">
        <v>1</v>
      </c>
    </row>
    <row r="330" spans="1:3" x14ac:dyDescent="0.3">
      <c r="A330" s="9">
        <v>46052</v>
      </c>
      <c r="B330">
        <v>499</v>
      </c>
      <c r="C330">
        <v>1</v>
      </c>
    </row>
    <row r="331" spans="1:3" x14ac:dyDescent="0.3">
      <c r="A331" s="8">
        <v>29</v>
      </c>
      <c r="B331">
        <v>13081</v>
      </c>
      <c r="C331">
        <v>19</v>
      </c>
    </row>
    <row r="332" spans="1:3" x14ac:dyDescent="0.3">
      <c r="A332" s="9">
        <v>46026</v>
      </c>
      <c r="B332">
        <v>99</v>
      </c>
      <c r="C332">
        <v>1</v>
      </c>
    </row>
    <row r="333" spans="1:3" x14ac:dyDescent="0.3">
      <c r="A333" s="9">
        <v>46027</v>
      </c>
      <c r="B333">
        <v>799</v>
      </c>
      <c r="C333">
        <v>1</v>
      </c>
    </row>
    <row r="334" spans="1:3" x14ac:dyDescent="0.3">
      <c r="A334" s="9">
        <v>46030</v>
      </c>
      <c r="B334">
        <v>2999</v>
      </c>
      <c r="C334">
        <v>1</v>
      </c>
    </row>
    <row r="335" spans="1:3" x14ac:dyDescent="0.3">
      <c r="A335" s="9">
        <v>46031</v>
      </c>
      <c r="B335">
        <v>499</v>
      </c>
      <c r="C335">
        <v>1</v>
      </c>
    </row>
    <row r="336" spans="1:3" x14ac:dyDescent="0.3">
      <c r="A336" s="9">
        <v>46034</v>
      </c>
      <c r="B336">
        <v>399</v>
      </c>
      <c r="C336">
        <v>1</v>
      </c>
    </row>
    <row r="337" spans="1:3" x14ac:dyDescent="0.3">
      <c r="A337" s="9">
        <v>46036</v>
      </c>
      <c r="B337">
        <v>1998</v>
      </c>
      <c r="C337">
        <v>2</v>
      </c>
    </row>
    <row r="338" spans="1:3" x14ac:dyDescent="0.3">
      <c r="A338" s="9">
        <v>46037</v>
      </c>
      <c r="B338">
        <v>1098</v>
      </c>
      <c r="C338">
        <v>2</v>
      </c>
    </row>
    <row r="339" spans="1:3" x14ac:dyDescent="0.3">
      <c r="A339" s="9">
        <v>46039</v>
      </c>
      <c r="B339">
        <v>49</v>
      </c>
      <c r="C339">
        <v>1</v>
      </c>
    </row>
    <row r="340" spans="1:3" x14ac:dyDescent="0.3">
      <c r="A340" s="9">
        <v>46041</v>
      </c>
      <c r="B340">
        <v>49</v>
      </c>
      <c r="C340">
        <v>1</v>
      </c>
    </row>
    <row r="341" spans="1:3" x14ac:dyDescent="0.3">
      <c r="A341" s="9">
        <v>46042</v>
      </c>
      <c r="B341">
        <v>149</v>
      </c>
      <c r="C341">
        <v>1</v>
      </c>
    </row>
    <row r="342" spans="1:3" x14ac:dyDescent="0.3">
      <c r="A342" s="9">
        <v>46047</v>
      </c>
      <c r="B342">
        <v>3896</v>
      </c>
      <c r="C342">
        <v>4</v>
      </c>
    </row>
    <row r="343" spans="1:3" x14ac:dyDescent="0.3">
      <c r="A343" s="9">
        <v>46049</v>
      </c>
      <c r="B343">
        <v>898</v>
      </c>
      <c r="C343">
        <v>2</v>
      </c>
    </row>
    <row r="344" spans="1:3" x14ac:dyDescent="0.3">
      <c r="A344" s="9">
        <v>46050</v>
      </c>
      <c r="B344">
        <v>149</v>
      </c>
      <c r="C344">
        <v>1</v>
      </c>
    </row>
    <row r="345" spans="1:3" x14ac:dyDescent="0.3">
      <c r="A345" s="8">
        <v>30</v>
      </c>
      <c r="B345">
        <v>7883</v>
      </c>
      <c r="C345">
        <v>17</v>
      </c>
    </row>
    <row r="346" spans="1:3" x14ac:dyDescent="0.3">
      <c r="A346" s="9">
        <v>46025</v>
      </c>
      <c r="B346">
        <v>149</v>
      </c>
      <c r="C346">
        <v>1</v>
      </c>
    </row>
    <row r="347" spans="1:3" x14ac:dyDescent="0.3">
      <c r="A347" s="9">
        <v>46030</v>
      </c>
      <c r="B347">
        <v>1197</v>
      </c>
      <c r="C347">
        <v>3</v>
      </c>
    </row>
    <row r="348" spans="1:3" x14ac:dyDescent="0.3">
      <c r="A348" s="9">
        <v>46031</v>
      </c>
      <c r="B348">
        <v>99</v>
      </c>
      <c r="C348">
        <v>1</v>
      </c>
    </row>
    <row r="349" spans="1:3" x14ac:dyDescent="0.3">
      <c r="A349" s="9">
        <v>46034</v>
      </c>
      <c r="B349">
        <v>499</v>
      </c>
      <c r="C349">
        <v>1</v>
      </c>
    </row>
    <row r="350" spans="1:3" x14ac:dyDescent="0.3">
      <c r="A350" s="9">
        <v>46035</v>
      </c>
      <c r="B350">
        <v>1499</v>
      </c>
      <c r="C350">
        <v>1</v>
      </c>
    </row>
    <row r="351" spans="1:3" x14ac:dyDescent="0.3">
      <c r="A351" s="9">
        <v>46036</v>
      </c>
      <c r="B351">
        <v>2497</v>
      </c>
      <c r="C351">
        <v>3</v>
      </c>
    </row>
    <row r="352" spans="1:3" x14ac:dyDescent="0.3">
      <c r="A352" s="9">
        <v>46037</v>
      </c>
      <c r="B352">
        <v>49</v>
      </c>
      <c r="C352">
        <v>1</v>
      </c>
    </row>
    <row r="353" spans="1:3" x14ac:dyDescent="0.3">
      <c r="A353" s="9">
        <v>46039</v>
      </c>
      <c r="B353">
        <v>49</v>
      </c>
      <c r="C353">
        <v>1</v>
      </c>
    </row>
    <row r="354" spans="1:3" x14ac:dyDescent="0.3">
      <c r="A354" s="9">
        <v>46040</v>
      </c>
      <c r="B354">
        <v>799</v>
      </c>
      <c r="C354">
        <v>1</v>
      </c>
    </row>
    <row r="355" spans="1:3" x14ac:dyDescent="0.3">
      <c r="A355" s="9">
        <v>46048</v>
      </c>
      <c r="B355">
        <v>799</v>
      </c>
      <c r="C355">
        <v>1</v>
      </c>
    </row>
    <row r="356" spans="1:3" x14ac:dyDescent="0.3">
      <c r="A356" s="9">
        <v>46050</v>
      </c>
      <c r="B356">
        <v>49</v>
      </c>
      <c r="C356">
        <v>1</v>
      </c>
    </row>
    <row r="357" spans="1:3" x14ac:dyDescent="0.3">
      <c r="A357" s="9">
        <v>46051</v>
      </c>
      <c r="B357">
        <v>149</v>
      </c>
      <c r="C357">
        <v>1</v>
      </c>
    </row>
    <row r="358" spans="1:3" x14ac:dyDescent="0.3">
      <c r="A358" s="9">
        <v>46052</v>
      </c>
      <c r="B358">
        <v>49</v>
      </c>
      <c r="C358">
        <v>1</v>
      </c>
    </row>
    <row r="359" spans="1:3" x14ac:dyDescent="0.3">
      <c r="A359" s="8">
        <v>31</v>
      </c>
      <c r="B359">
        <v>4835</v>
      </c>
      <c r="C359">
        <v>15</v>
      </c>
    </row>
    <row r="360" spans="1:3" x14ac:dyDescent="0.3">
      <c r="A360" s="9">
        <v>46027</v>
      </c>
      <c r="B360">
        <v>49</v>
      </c>
      <c r="C360">
        <v>1</v>
      </c>
    </row>
    <row r="361" spans="1:3" x14ac:dyDescent="0.3">
      <c r="A361" s="9">
        <v>46029</v>
      </c>
      <c r="B361">
        <v>49</v>
      </c>
      <c r="C361">
        <v>1</v>
      </c>
    </row>
    <row r="362" spans="1:3" x14ac:dyDescent="0.3">
      <c r="A362" s="9">
        <v>46031</v>
      </c>
      <c r="B362">
        <v>1499</v>
      </c>
      <c r="C362">
        <v>1</v>
      </c>
    </row>
    <row r="363" spans="1:3" x14ac:dyDescent="0.3">
      <c r="A363" s="9">
        <v>46032</v>
      </c>
      <c r="B363">
        <v>499</v>
      </c>
      <c r="C363">
        <v>1</v>
      </c>
    </row>
    <row r="364" spans="1:3" x14ac:dyDescent="0.3">
      <c r="A364" s="9">
        <v>46034</v>
      </c>
      <c r="B364">
        <v>598</v>
      </c>
      <c r="C364">
        <v>2</v>
      </c>
    </row>
    <row r="365" spans="1:3" x14ac:dyDescent="0.3">
      <c r="A365" s="9">
        <v>46035</v>
      </c>
      <c r="B365">
        <v>299</v>
      </c>
      <c r="C365">
        <v>1</v>
      </c>
    </row>
    <row r="366" spans="1:3" x14ac:dyDescent="0.3">
      <c r="A366" s="9">
        <v>46036</v>
      </c>
      <c r="B366">
        <v>499</v>
      </c>
      <c r="C366">
        <v>1</v>
      </c>
    </row>
    <row r="367" spans="1:3" x14ac:dyDescent="0.3">
      <c r="A367" s="9">
        <v>46037</v>
      </c>
      <c r="B367">
        <v>299</v>
      </c>
      <c r="C367">
        <v>1</v>
      </c>
    </row>
    <row r="368" spans="1:3" x14ac:dyDescent="0.3">
      <c r="A368" s="9">
        <v>46038</v>
      </c>
      <c r="B368">
        <v>499</v>
      </c>
      <c r="C368">
        <v>1</v>
      </c>
    </row>
    <row r="369" spans="1:3" x14ac:dyDescent="0.3">
      <c r="A369" s="9">
        <v>46040</v>
      </c>
      <c r="B369">
        <v>49</v>
      </c>
      <c r="C369">
        <v>1</v>
      </c>
    </row>
    <row r="370" spans="1:3" x14ac:dyDescent="0.3">
      <c r="A370" s="9">
        <v>46043</v>
      </c>
      <c r="B370">
        <v>49</v>
      </c>
      <c r="C370">
        <v>1</v>
      </c>
    </row>
    <row r="371" spans="1:3" x14ac:dyDescent="0.3">
      <c r="A371" s="9">
        <v>46044</v>
      </c>
      <c r="B371">
        <v>99</v>
      </c>
      <c r="C371">
        <v>1</v>
      </c>
    </row>
    <row r="372" spans="1:3" x14ac:dyDescent="0.3">
      <c r="A372" s="9">
        <v>46050</v>
      </c>
      <c r="B372">
        <v>299</v>
      </c>
      <c r="C372">
        <v>1</v>
      </c>
    </row>
    <row r="373" spans="1:3" x14ac:dyDescent="0.3">
      <c r="A373" s="9">
        <v>46051</v>
      </c>
      <c r="B373">
        <v>49</v>
      </c>
      <c r="C373">
        <v>1</v>
      </c>
    </row>
    <row r="374" spans="1:3" x14ac:dyDescent="0.3">
      <c r="A374" s="8">
        <v>32</v>
      </c>
      <c r="B374">
        <v>8086</v>
      </c>
      <c r="C374">
        <v>14</v>
      </c>
    </row>
    <row r="375" spans="1:3" x14ac:dyDescent="0.3">
      <c r="A375" s="9">
        <v>46025</v>
      </c>
      <c r="B375">
        <v>149</v>
      </c>
      <c r="C375">
        <v>1</v>
      </c>
    </row>
    <row r="376" spans="1:3" x14ac:dyDescent="0.3">
      <c r="A376" s="9">
        <v>46026</v>
      </c>
      <c r="B376">
        <v>49</v>
      </c>
      <c r="C376">
        <v>1</v>
      </c>
    </row>
    <row r="377" spans="1:3" x14ac:dyDescent="0.3">
      <c r="A377" s="9">
        <v>46028</v>
      </c>
      <c r="B377">
        <v>149</v>
      </c>
      <c r="C377">
        <v>1</v>
      </c>
    </row>
    <row r="378" spans="1:3" x14ac:dyDescent="0.3">
      <c r="A378" s="9">
        <v>46031</v>
      </c>
      <c r="B378">
        <v>499</v>
      </c>
      <c r="C378">
        <v>1</v>
      </c>
    </row>
    <row r="379" spans="1:3" x14ac:dyDescent="0.3">
      <c r="A379" s="9">
        <v>46035</v>
      </c>
      <c r="B379">
        <v>1999</v>
      </c>
      <c r="C379">
        <v>1</v>
      </c>
    </row>
    <row r="380" spans="1:3" x14ac:dyDescent="0.3">
      <c r="A380" s="9">
        <v>46037</v>
      </c>
      <c r="B380">
        <v>148</v>
      </c>
      <c r="C380">
        <v>2</v>
      </c>
    </row>
    <row r="381" spans="1:3" x14ac:dyDescent="0.3">
      <c r="A381" s="9">
        <v>46040</v>
      </c>
      <c r="B381">
        <v>149</v>
      </c>
      <c r="C381">
        <v>1</v>
      </c>
    </row>
    <row r="382" spans="1:3" x14ac:dyDescent="0.3">
      <c r="A382" s="9">
        <v>46043</v>
      </c>
      <c r="B382">
        <v>348</v>
      </c>
      <c r="C382">
        <v>2</v>
      </c>
    </row>
    <row r="383" spans="1:3" x14ac:dyDescent="0.3">
      <c r="A383" s="9">
        <v>46046</v>
      </c>
      <c r="B383">
        <v>49</v>
      </c>
      <c r="C383">
        <v>1</v>
      </c>
    </row>
    <row r="384" spans="1:3" x14ac:dyDescent="0.3">
      <c r="A384" s="9">
        <v>46047</v>
      </c>
      <c r="B384">
        <v>49</v>
      </c>
      <c r="C384">
        <v>1</v>
      </c>
    </row>
    <row r="385" spans="1:3" x14ac:dyDescent="0.3">
      <c r="A385" s="9">
        <v>46049</v>
      </c>
      <c r="B385">
        <v>1499</v>
      </c>
      <c r="C385">
        <v>1</v>
      </c>
    </row>
    <row r="386" spans="1:3" x14ac:dyDescent="0.3">
      <c r="A386" s="9">
        <v>46050</v>
      </c>
      <c r="B386">
        <v>2999</v>
      </c>
      <c r="C386">
        <v>1</v>
      </c>
    </row>
    <row r="387" spans="1:3" x14ac:dyDescent="0.3">
      <c r="A387" s="8">
        <v>33</v>
      </c>
      <c r="B387">
        <v>10339</v>
      </c>
      <c r="C387">
        <v>11</v>
      </c>
    </row>
    <row r="388" spans="1:3" x14ac:dyDescent="0.3">
      <c r="A388" s="9">
        <v>46025</v>
      </c>
      <c r="B388">
        <v>149</v>
      </c>
      <c r="C388">
        <v>1</v>
      </c>
    </row>
    <row r="389" spans="1:3" x14ac:dyDescent="0.3">
      <c r="A389" s="9">
        <v>46026</v>
      </c>
      <c r="B389">
        <v>4999</v>
      </c>
      <c r="C389">
        <v>1</v>
      </c>
    </row>
    <row r="390" spans="1:3" x14ac:dyDescent="0.3">
      <c r="A390" s="9">
        <v>46034</v>
      </c>
      <c r="B390">
        <v>299</v>
      </c>
      <c r="C390">
        <v>1</v>
      </c>
    </row>
    <row r="391" spans="1:3" x14ac:dyDescent="0.3">
      <c r="A391" s="9">
        <v>46037</v>
      </c>
      <c r="B391">
        <v>799</v>
      </c>
      <c r="C391">
        <v>1</v>
      </c>
    </row>
    <row r="392" spans="1:3" x14ac:dyDescent="0.3">
      <c r="A392" s="9">
        <v>46042</v>
      </c>
      <c r="B392">
        <v>499</v>
      </c>
      <c r="C392">
        <v>1</v>
      </c>
    </row>
    <row r="393" spans="1:3" x14ac:dyDescent="0.3">
      <c r="A393" s="9">
        <v>46043</v>
      </c>
      <c r="B393">
        <v>3298</v>
      </c>
      <c r="C393">
        <v>2</v>
      </c>
    </row>
    <row r="394" spans="1:3" x14ac:dyDescent="0.3">
      <c r="A394" s="9">
        <v>46044</v>
      </c>
      <c r="B394">
        <v>99</v>
      </c>
      <c r="C394">
        <v>1</v>
      </c>
    </row>
    <row r="395" spans="1:3" x14ac:dyDescent="0.3">
      <c r="A395" s="9">
        <v>46045</v>
      </c>
      <c r="B395">
        <v>49</v>
      </c>
      <c r="C395">
        <v>1</v>
      </c>
    </row>
    <row r="396" spans="1:3" x14ac:dyDescent="0.3">
      <c r="A396" s="9">
        <v>46046</v>
      </c>
      <c r="B396">
        <v>49</v>
      </c>
      <c r="C396">
        <v>1</v>
      </c>
    </row>
    <row r="397" spans="1:3" x14ac:dyDescent="0.3">
      <c r="A397" s="9">
        <v>46047</v>
      </c>
      <c r="B397">
        <v>99</v>
      </c>
      <c r="C397">
        <v>1</v>
      </c>
    </row>
    <row r="398" spans="1:3" x14ac:dyDescent="0.3">
      <c r="A398" s="8">
        <v>34</v>
      </c>
      <c r="B398">
        <v>10034</v>
      </c>
      <c r="C398">
        <v>16</v>
      </c>
    </row>
    <row r="399" spans="1:3" x14ac:dyDescent="0.3">
      <c r="A399" s="9">
        <v>46024</v>
      </c>
      <c r="B399">
        <v>548</v>
      </c>
      <c r="C399">
        <v>2</v>
      </c>
    </row>
    <row r="400" spans="1:3" x14ac:dyDescent="0.3">
      <c r="A400" s="9">
        <v>46027</v>
      </c>
      <c r="B400">
        <v>2999</v>
      </c>
      <c r="C400">
        <v>1</v>
      </c>
    </row>
    <row r="401" spans="1:3" x14ac:dyDescent="0.3">
      <c r="A401" s="9">
        <v>46031</v>
      </c>
      <c r="B401">
        <v>299</v>
      </c>
      <c r="C401">
        <v>1</v>
      </c>
    </row>
    <row r="402" spans="1:3" x14ac:dyDescent="0.3">
      <c r="A402" s="9">
        <v>46032</v>
      </c>
      <c r="B402">
        <v>49</v>
      </c>
      <c r="C402">
        <v>1</v>
      </c>
    </row>
    <row r="403" spans="1:3" x14ac:dyDescent="0.3">
      <c r="A403" s="9">
        <v>46034</v>
      </c>
      <c r="B403">
        <v>399</v>
      </c>
      <c r="C403">
        <v>1</v>
      </c>
    </row>
    <row r="404" spans="1:3" x14ac:dyDescent="0.3">
      <c r="A404" s="9">
        <v>46039</v>
      </c>
      <c r="B404">
        <v>299</v>
      </c>
      <c r="C404">
        <v>1</v>
      </c>
    </row>
    <row r="405" spans="1:3" x14ac:dyDescent="0.3">
      <c r="A405" s="9">
        <v>46040</v>
      </c>
      <c r="B405">
        <v>148</v>
      </c>
      <c r="C405">
        <v>2</v>
      </c>
    </row>
    <row r="406" spans="1:3" x14ac:dyDescent="0.3">
      <c r="A406" s="9">
        <v>46041</v>
      </c>
      <c r="B406">
        <v>499</v>
      </c>
      <c r="C406">
        <v>1</v>
      </c>
    </row>
    <row r="407" spans="1:3" x14ac:dyDescent="0.3">
      <c r="A407" s="9">
        <v>46043</v>
      </c>
      <c r="B407">
        <v>799</v>
      </c>
      <c r="C407">
        <v>1</v>
      </c>
    </row>
    <row r="408" spans="1:3" x14ac:dyDescent="0.3">
      <c r="A408" s="9">
        <v>46044</v>
      </c>
      <c r="B408">
        <v>299</v>
      </c>
      <c r="C408">
        <v>1</v>
      </c>
    </row>
    <row r="409" spans="1:3" x14ac:dyDescent="0.3">
      <c r="A409" s="9">
        <v>46045</v>
      </c>
      <c r="B409">
        <v>3148</v>
      </c>
      <c r="C409">
        <v>2</v>
      </c>
    </row>
    <row r="410" spans="1:3" x14ac:dyDescent="0.3">
      <c r="A410" s="9">
        <v>46046</v>
      </c>
      <c r="B410">
        <v>548</v>
      </c>
      <c r="C410">
        <v>2</v>
      </c>
    </row>
    <row r="411" spans="1:3" x14ac:dyDescent="0.3">
      <c r="A411" s="8">
        <v>35</v>
      </c>
      <c r="B411">
        <v>9286</v>
      </c>
      <c r="C411">
        <v>14</v>
      </c>
    </row>
    <row r="412" spans="1:3" x14ac:dyDescent="0.3">
      <c r="A412" s="9">
        <v>46023</v>
      </c>
      <c r="B412">
        <v>798</v>
      </c>
      <c r="C412">
        <v>2</v>
      </c>
    </row>
    <row r="413" spans="1:3" x14ac:dyDescent="0.3">
      <c r="A413" s="9">
        <v>46024</v>
      </c>
      <c r="B413">
        <v>1847</v>
      </c>
      <c r="C413">
        <v>3</v>
      </c>
    </row>
    <row r="414" spans="1:3" x14ac:dyDescent="0.3">
      <c r="A414" s="9">
        <v>46033</v>
      </c>
      <c r="B414">
        <v>4999</v>
      </c>
      <c r="C414">
        <v>1</v>
      </c>
    </row>
    <row r="415" spans="1:3" x14ac:dyDescent="0.3">
      <c r="A415" s="9">
        <v>46034</v>
      </c>
      <c r="B415">
        <v>99</v>
      </c>
      <c r="C415">
        <v>1</v>
      </c>
    </row>
    <row r="416" spans="1:3" x14ac:dyDescent="0.3">
      <c r="A416" s="9">
        <v>46035</v>
      </c>
      <c r="B416">
        <v>149</v>
      </c>
      <c r="C416">
        <v>1</v>
      </c>
    </row>
    <row r="417" spans="1:3" x14ac:dyDescent="0.3">
      <c r="A417" s="9">
        <v>46043</v>
      </c>
      <c r="B417">
        <v>299</v>
      </c>
      <c r="C417">
        <v>1</v>
      </c>
    </row>
    <row r="418" spans="1:3" x14ac:dyDescent="0.3">
      <c r="A418" s="9">
        <v>46044</v>
      </c>
      <c r="B418">
        <v>299</v>
      </c>
      <c r="C418">
        <v>1</v>
      </c>
    </row>
    <row r="419" spans="1:3" x14ac:dyDescent="0.3">
      <c r="A419" s="9">
        <v>46046</v>
      </c>
      <c r="B419">
        <v>149</v>
      </c>
      <c r="C419">
        <v>1</v>
      </c>
    </row>
    <row r="420" spans="1:3" x14ac:dyDescent="0.3">
      <c r="A420" s="9">
        <v>46048</v>
      </c>
      <c r="B420">
        <v>499</v>
      </c>
      <c r="C420">
        <v>1</v>
      </c>
    </row>
    <row r="421" spans="1:3" x14ac:dyDescent="0.3">
      <c r="A421" s="9">
        <v>46050</v>
      </c>
      <c r="B421">
        <v>49</v>
      </c>
      <c r="C421">
        <v>1</v>
      </c>
    </row>
    <row r="422" spans="1:3" x14ac:dyDescent="0.3">
      <c r="A422" s="9">
        <v>46052</v>
      </c>
      <c r="B422">
        <v>99</v>
      </c>
      <c r="C422">
        <v>1</v>
      </c>
    </row>
    <row r="423" spans="1:3" x14ac:dyDescent="0.3">
      <c r="A423" s="8">
        <v>36</v>
      </c>
      <c r="B423">
        <v>12534</v>
      </c>
      <c r="C423">
        <v>16</v>
      </c>
    </row>
    <row r="424" spans="1:3" x14ac:dyDescent="0.3">
      <c r="A424" s="9">
        <v>46023</v>
      </c>
      <c r="B424">
        <v>149</v>
      </c>
      <c r="C424">
        <v>1</v>
      </c>
    </row>
    <row r="425" spans="1:3" x14ac:dyDescent="0.3">
      <c r="A425" s="9">
        <v>46024</v>
      </c>
      <c r="B425">
        <v>299</v>
      </c>
      <c r="C425">
        <v>1</v>
      </c>
    </row>
    <row r="426" spans="1:3" x14ac:dyDescent="0.3">
      <c r="A426" s="9">
        <v>46025</v>
      </c>
      <c r="B426">
        <v>248</v>
      </c>
      <c r="C426">
        <v>2</v>
      </c>
    </row>
    <row r="427" spans="1:3" x14ac:dyDescent="0.3">
      <c r="A427" s="9">
        <v>46026</v>
      </c>
      <c r="B427">
        <v>149</v>
      </c>
      <c r="C427">
        <v>1</v>
      </c>
    </row>
    <row r="428" spans="1:3" x14ac:dyDescent="0.3">
      <c r="A428" s="9">
        <v>46038</v>
      </c>
      <c r="B428">
        <v>1499</v>
      </c>
      <c r="C428">
        <v>1</v>
      </c>
    </row>
    <row r="429" spans="1:3" x14ac:dyDescent="0.3">
      <c r="A429" s="9">
        <v>46039</v>
      </c>
      <c r="B429">
        <v>1499</v>
      </c>
      <c r="C429">
        <v>1</v>
      </c>
    </row>
    <row r="430" spans="1:3" x14ac:dyDescent="0.3">
      <c r="A430" s="9">
        <v>46041</v>
      </c>
      <c r="B430">
        <v>4999</v>
      </c>
      <c r="C430">
        <v>1</v>
      </c>
    </row>
    <row r="431" spans="1:3" x14ac:dyDescent="0.3">
      <c r="A431" s="9">
        <v>46042</v>
      </c>
      <c r="B431">
        <v>49</v>
      </c>
      <c r="C431">
        <v>1</v>
      </c>
    </row>
    <row r="432" spans="1:3" x14ac:dyDescent="0.3">
      <c r="A432" s="9">
        <v>46046</v>
      </c>
      <c r="B432">
        <v>1647</v>
      </c>
      <c r="C432">
        <v>3</v>
      </c>
    </row>
    <row r="433" spans="1:3" x14ac:dyDescent="0.3">
      <c r="A433" s="9">
        <v>46048</v>
      </c>
      <c r="B433">
        <v>198</v>
      </c>
      <c r="C433">
        <v>2</v>
      </c>
    </row>
    <row r="434" spans="1:3" x14ac:dyDescent="0.3">
      <c r="A434" s="9">
        <v>46050</v>
      </c>
      <c r="B434">
        <v>999</v>
      </c>
      <c r="C434">
        <v>1</v>
      </c>
    </row>
    <row r="435" spans="1:3" x14ac:dyDescent="0.3">
      <c r="A435" s="9">
        <v>46051</v>
      </c>
      <c r="B435">
        <v>799</v>
      </c>
      <c r="C435">
        <v>1</v>
      </c>
    </row>
    <row r="436" spans="1:3" x14ac:dyDescent="0.3">
      <c r="A436" s="8">
        <v>37</v>
      </c>
      <c r="B436">
        <v>12931</v>
      </c>
      <c r="C436">
        <v>19</v>
      </c>
    </row>
    <row r="437" spans="1:3" x14ac:dyDescent="0.3">
      <c r="A437" s="9">
        <v>46023</v>
      </c>
      <c r="B437">
        <v>598</v>
      </c>
      <c r="C437">
        <v>2</v>
      </c>
    </row>
    <row r="438" spans="1:3" x14ac:dyDescent="0.3">
      <c r="A438" s="9">
        <v>46024</v>
      </c>
      <c r="B438">
        <v>2999</v>
      </c>
      <c r="C438">
        <v>1</v>
      </c>
    </row>
    <row r="439" spans="1:3" x14ac:dyDescent="0.3">
      <c r="A439" s="9">
        <v>46025</v>
      </c>
      <c r="B439">
        <v>299</v>
      </c>
      <c r="C439">
        <v>1</v>
      </c>
    </row>
    <row r="440" spans="1:3" x14ac:dyDescent="0.3">
      <c r="A440" s="9">
        <v>46026</v>
      </c>
      <c r="B440">
        <v>49</v>
      </c>
      <c r="C440">
        <v>1</v>
      </c>
    </row>
    <row r="441" spans="1:3" x14ac:dyDescent="0.3">
      <c r="A441" s="9">
        <v>46027</v>
      </c>
      <c r="B441">
        <v>1499</v>
      </c>
      <c r="C441">
        <v>1</v>
      </c>
    </row>
    <row r="442" spans="1:3" x14ac:dyDescent="0.3">
      <c r="A442" s="9">
        <v>46028</v>
      </c>
      <c r="B442">
        <v>99</v>
      </c>
      <c r="C442">
        <v>1</v>
      </c>
    </row>
    <row r="443" spans="1:3" x14ac:dyDescent="0.3">
      <c r="A443" s="9">
        <v>46034</v>
      </c>
      <c r="B443">
        <v>149</v>
      </c>
      <c r="C443">
        <v>1</v>
      </c>
    </row>
    <row r="444" spans="1:3" x14ac:dyDescent="0.3">
      <c r="A444" s="9">
        <v>46038</v>
      </c>
      <c r="B444">
        <v>2999</v>
      </c>
      <c r="C444">
        <v>1</v>
      </c>
    </row>
    <row r="445" spans="1:3" x14ac:dyDescent="0.3">
      <c r="A445" s="9">
        <v>46039</v>
      </c>
      <c r="B445">
        <v>49</v>
      </c>
      <c r="C445">
        <v>1</v>
      </c>
    </row>
    <row r="446" spans="1:3" x14ac:dyDescent="0.3">
      <c r="A446" s="9">
        <v>46042</v>
      </c>
      <c r="B446">
        <v>149</v>
      </c>
      <c r="C446">
        <v>1</v>
      </c>
    </row>
    <row r="447" spans="1:3" x14ac:dyDescent="0.3">
      <c r="A447" s="9">
        <v>46043</v>
      </c>
      <c r="B447">
        <v>99</v>
      </c>
      <c r="C447">
        <v>1</v>
      </c>
    </row>
    <row r="448" spans="1:3" x14ac:dyDescent="0.3">
      <c r="A448" s="9">
        <v>46045</v>
      </c>
      <c r="B448">
        <v>1999</v>
      </c>
      <c r="C448">
        <v>1</v>
      </c>
    </row>
    <row r="449" spans="1:3" x14ac:dyDescent="0.3">
      <c r="A449" s="9">
        <v>46049</v>
      </c>
      <c r="B449">
        <v>799</v>
      </c>
      <c r="C449">
        <v>1</v>
      </c>
    </row>
    <row r="450" spans="1:3" x14ac:dyDescent="0.3">
      <c r="A450" s="9">
        <v>46050</v>
      </c>
      <c r="B450">
        <v>697</v>
      </c>
      <c r="C450">
        <v>3</v>
      </c>
    </row>
    <row r="451" spans="1:3" x14ac:dyDescent="0.3">
      <c r="A451" s="9">
        <v>46051</v>
      </c>
      <c r="B451">
        <v>149</v>
      </c>
      <c r="C451">
        <v>1</v>
      </c>
    </row>
    <row r="452" spans="1:3" x14ac:dyDescent="0.3">
      <c r="A452" s="9">
        <v>46052</v>
      </c>
      <c r="B452">
        <v>299</v>
      </c>
      <c r="C452">
        <v>1</v>
      </c>
    </row>
    <row r="453" spans="1:3" x14ac:dyDescent="0.3">
      <c r="A453" s="8">
        <v>38</v>
      </c>
      <c r="B453">
        <v>3940</v>
      </c>
      <c r="C453">
        <v>10</v>
      </c>
    </row>
    <row r="454" spans="1:3" x14ac:dyDescent="0.3">
      <c r="A454" s="9">
        <v>46027</v>
      </c>
      <c r="B454">
        <v>1499</v>
      </c>
      <c r="C454">
        <v>1</v>
      </c>
    </row>
    <row r="455" spans="1:3" x14ac:dyDescent="0.3">
      <c r="A455" s="9">
        <v>46028</v>
      </c>
      <c r="B455">
        <v>99</v>
      </c>
      <c r="C455">
        <v>1</v>
      </c>
    </row>
    <row r="456" spans="1:3" x14ac:dyDescent="0.3">
      <c r="A456" s="9">
        <v>46031</v>
      </c>
      <c r="B456">
        <v>348</v>
      </c>
      <c r="C456">
        <v>2</v>
      </c>
    </row>
    <row r="457" spans="1:3" x14ac:dyDescent="0.3">
      <c r="A457" s="9">
        <v>46032</v>
      </c>
      <c r="B457">
        <v>398</v>
      </c>
      <c r="C457">
        <v>2</v>
      </c>
    </row>
    <row r="458" spans="1:3" x14ac:dyDescent="0.3">
      <c r="A458" s="9">
        <v>46037</v>
      </c>
      <c r="B458">
        <v>499</v>
      </c>
      <c r="C458">
        <v>1</v>
      </c>
    </row>
    <row r="459" spans="1:3" x14ac:dyDescent="0.3">
      <c r="A459" s="9">
        <v>46044</v>
      </c>
      <c r="B459">
        <v>299</v>
      </c>
      <c r="C459">
        <v>1</v>
      </c>
    </row>
    <row r="460" spans="1:3" x14ac:dyDescent="0.3">
      <c r="A460" s="9">
        <v>46045</v>
      </c>
      <c r="B460">
        <v>499</v>
      </c>
      <c r="C460">
        <v>1</v>
      </c>
    </row>
    <row r="461" spans="1:3" x14ac:dyDescent="0.3">
      <c r="A461" s="9">
        <v>46050</v>
      </c>
      <c r="B461">
        <v>299</v>
      </c>
      <c r="C461">
        <v>1</v>
      </c>
    </row>
    <row r="462" spans="1:3" x14ac:dyDescent="0.3">
      <c r="A462" s="8">
        <v>39</v>
      </c>
      <c r="B462">
        <v>22687</v>
      </c>
      <c r="C462">
        <v>13</v>
      </c>
    </row>
    <row r="463" spans="1:3" x14ac:dyDescent="0.3">
      <c r="A463" s="9">
        <v>46024</v>
      </c>
      <c r="B463">
        <v>499</v>
      </c>
      <c r="C463">
        <v>1</v>
      </c>
    </row>
    <row r="464" spans="1:3" x14ac:dyDescent="0.3">
      <c r="A464" s="9">
        <v>46027</v>
      </c>
      <c r="B464">
        <v>299</v>
      </c>
      <c r="C464">
        <v>1</v>
      </c>
    </row>
    <row r="465" spans="1:3" x14ac:dyDescent="0.3">
      <c r="A465" s="9">
        <v>46031</v>
      </c>
      <c r="B465">
        <v>399</v>
      </c>
      <c r="C465">
        <v>1</v>
      </c>
    </row>
    <row r="466" spans="1:3" x14ac:dyDescent="0.3">
      <c r="A466" s="9">
        <v>46032</v>
      </c>
      <c r="B466">
        <v>49</v>
      </c>
      <c r="C466">
        <v>1</v>
      </c>
    </row>
    <row r="467" spans="1:3" x14ac:dyDescent="0.3">
      <c r="A467" s="9">
        <v>46038</v>
      </c>
      <c r="B467">
        <v>499</v>
      </c>
      <c r="C467">
        <v>1</v>
      </c>
    </row>
    <row r="468" spans="1:3" x14ac:dyDescent="0.3">
      <c r="A468" s="9">
        <v>46039</v>
      </c>
      <c r="B468">
        <v>2999</v>
      </c>
      <c r="C468">
        <v>1</v>
      </c>
    </row>
    <row r="469" spans="1:3" x14ac:dyDescent="0.3">
      <c r="A469" s="9">
        <v>46040</v>
      </c>
      <c r="B469">
        <v>2999</v>
      </c>
      <c r="C469">
        <v>1</v>
      </c>
    </row>
    <row r="470" spans="1:3" x14ac:dyDescent="0.3">
      <c r="A470" s="9">
        <v>46044</v>
      </c>
      <c r="B470">
        <v>9796</v>
      </c>
      <c r="C470">
        <v>4</v>
      </c>
    </row>
    <row r="471" spans="1:3" x14ac:dyDescent="0.3">
      <c r="A471" s="9">
        <v>46045</v>
      </c>
      <c r="B471">
        <v>4999</v>
      </c>
      <c r="C471">
        <v>1</v>
      </c>
    </row>
    <row r="472" spans="1:3" x14ac:dyDescent="0.3">
      <c r="A472" s="9">
        <v>46051</v>
      </c>
      <c r="B472">
        <v>149</v>
      </c>
      <c r="C472">
        <v>1</v>
      </c>
    </row>
    <row r="473" spans="1:3" x14ac:dyDescent="0.3">
      <c r="A473" s="8">
        <v>40</v>
      </c>
      <c r="B473">
        <v>8735</v>
      </c>
      <c r="C473">
        <v>15</v>
      </c>
    </row>
    <row r="474" spans="1:3" x14ac:dyDescent="0.3">
      <c r="A474" s="9">
        <v>46023</v>
      </c>
      <c r="B474">
        <v>299</v>
      </c>
      <c r="C474">
        <v>1</v>
      </c>
    </row>
    <row r="475" spans="1:3" x14ac:dyDescent="0.3">
      <c r="A475" s="9">
        <v>46025</v>
      </c>
      <c r="B475">
        <v>49</v>
      </c>
      <c r="C475">
        <v>1</v>
      </c>
    </row>
    <row r="476" spans="1:3" x14ac:dyDescent="0.3">
      <c r="A476" s="9">
        <v>46030</v>
      </c>
      <c r="B476">
        <v>49</v>
      </c>
      <c r="C476">
        <v>1</v>
      </c>
    </row>
    <row r="477" spans="1:3" x14ac:dyDescent="0.3">
      <c r="A477" s="9">
        <v>46033</v>
      </c>
      <c r="B477">
        <v>4999</v>
      </c>
      <c r="C477">
        <v>1</v>
      </c>
    </row>
    <row r="478" spans="1:3" x14ac:dyDescent="0.3">
      <c r="A478" s="9">
        <v>46034</v>
      </c>
      <c r="B478">
        <v>99</v>
      </c>
      <c r="C478">
        <v>1</v>
      </c>
    </row>
    <row r="479" spans="1:3" x14ac:dyDescent="0.3">
      <c r="A479" s="9">
        <v>46035</v>
      </c>
      <c r="B479">
        <v>299</v>
      </c>
      <c r="C479">
        <v>1</v>
      </c>
    </row>
    <row r="480" spans="1:3" x14ac:dyDescent="0.3">
      <c r="A480" s="9">
        <v>46036</v>
      </c>
      <c r="B480">
        <v>99</v>
      </c>
      <c r="C480">
        <v>1</v>
      </c>
    </row>
    <row r="481" spans="1:3" x14ac:dyDescent="0.3">
      <c r="A481" s="9">
        <v>46037</v>
      </c>
      <c r="B481">
        <v>149</v>
      </c>
      <c r="C481">
        <v>1</v>
      </c>
    </row>
    <row r="482" spans="1:3" x14ac:dyDescent="0.3">
      <c r="A482" s="9">
        <v>46040</v>
      </c>
      <c r="B482">
        <v>799</v>
      </c>
      <c r="C482">
        <v>1</v>
      </c>
    </row>
    <row r="483" spans="1:3" x14ac:dyDescent="0.3">
      <c r="A483" s="9">
        <v>46041</v>
      </c>
      <c r="B483">
        <v>648</v>
      </c>
      <c r="C483">
        <v>2</v>
      </c>
    </row>
    <row r="484" spans="1:3" x14ac:dyDescent="0.3">
      <c r="A484" s="9">
        <v>46045</v>
      </c>
      <c r="B484">
        <v>598</v>
      </c>
      <c r="C484">
        <v>2</v>
      </c>
    </row>
    <row r="485" spans="1:3" x14ac:dyDescent="0.3">
      <c r="A485" s="9">
        <v>46051</v>
      </c>
      <c r="B485">
        <v>149</v>
      </c>
      <c r="C485">
        <v>1</v>
      </c>
    </row>
    <row r="486" spans="1:3" x14ac:dyDescent="0.3">
      <c r="A486" s="9">
        <v>46052</v>
      </c>
      <c r="B486">
        <v>499</v>
      </c>
      <c r="C486">
        <v>1</v>
      </c>
    </row>
    <row r="487" spans="1:3" x14ac:dyDescent="0.3">
      <c r="A487" s="8" t="s">
        <v>625</v>
      </c>
      <c r="B487">
        <v>382603</v>
      </c>
      <c r="C487">
        <v>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6F46-FBE0-4873-A5B6-F76D8BCDB782}">
  <dimension ref="A3:I46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3" width="20.21875" bestFit="1" customWidth="1"/>
    <col min="4" max="4" width="16.44140625" bestFit="1" customWidth="1"/>
    <col min="5" max="5" width="20.21875" bestFit="1" customWidth="1"/>
    <col min="6" max="6" width="16.44140625" bestFit="1" customWidth="1"/>
    <col min="7" max="7" width="20.21875" bestFit="1" customWidth="1"/>
    <col min="8" max="8" width="21" bestFit="1" customWidth="1"/>
    <col min="9" max="9" width="24.77734375" bestFit="1" customWidth="1"/>
  </cols>
  <sheetData>
    <row r="3" spans="1:9" x14ac:dyDescent="0.3">
      <c r="B3" s="7" t="s">
        <v>630</v>
      </c>
    </row>
    <row r="4" spans="1:9" x14ac:dyDescent="0.3">
      <c r="B4" t="s">
        <v>64</v>
      </c>
      <c r="D4" t="s">
        <v>92</v>
      </c>
      <c r="F4" t="s">
        <v>79</v>
      </c>
      <c r="H4" t="s">
        <v>631</v>
      </c>
      <c r="I4" t="s">
        <v>632</v>
      </c>
    </row>
    <row r="5" spans="1:9" x14ac:dyDescent="0.3">
      <c r="A5" s="7" t="s">
        <v>624</v>
      </c>
      <c r="B5" t="s">
        <v>626</v>
      </c>
      <c r="C5" t="s">
        <v>627</v>
      </c>
      <c r="D5" t="s">
        <v>626</v>
      </c>
      <c r="E5" t="s">
        <v>627</v>
      </c>
      <c r="F5" t="s">
        <v>626</v>
      </c>
      <c r="G5" t="s">
        <v>627</v>
      </c>
    </row>
    <row r="6" spans="1:9" x14ac:dyDescent="0.3">
      <c r="A6" s="8">
        <v>1</v>
      </c>
      <c r="B6">
        <v>10142</v>
      </c>
      <c r="C6">
        <v>8</v>
      </c>
      <c r="F6">
        <v>299</v>
      </c>
      <c r="G6">
        <v>1</v>
      </c>
      <c r="H6">
        <v>10441</v>
      </c>
      <c r="I6">
        <v>9</v>
      </c>
    </row>
    <row r="7" spans="1:9" x14ac:dyDescent="0.3">
      <c r="A7" s="8">
        <v>2</v>
      </c>
      <c r="B7">
        <v>3640</v>
      </c>
      <c r="C7">
        <v>10</v>
      </c>
      <c r="H7">
        <v>3640</v>
      </c>
      <c r="I7">
        <v>10</v>
      </c>
    </row>
    <row r="8" spans="1:9" x14ac:dyDescent="0.3">
      <c r="A8" s="8">
        <v>3</v>
      </c>
      <c r="B8">
        <v>8084</v>
      </c>
      <c r="C8">
        <v>16</v>
      </c>
      <c r="D8">
        <v>149</v>
      </c>
      <c r="E8">
        <v>1</v>
      </c>
      <c r="H8">
        <v>8233</v>
      </c>
      <c r="I8">
        <v>17</v>
      </c>
    </row>
    <row r="9" spans="1:9" x14ac:dyDescent="0.3">
      <c r="A9" s="8">
        <v>4</v>
      </c>
      <c r="B9">
        <v>6941</v>
      </c>
      <c r="C9">
        <v>9</v>
      </c>
      <c r="H9">
        <v>6941</v>
      </c>
      <c r="I9">
        <v>9</v>
      </c>
    </row>
    <row r="10" spans="1:9" x14ac:dyDescent="0.3">
      <c r="A10" s="8">
        <v>5</v>
      </c>
      <c r="B10">
        <v>5340</v>
      </c>
      <c r="C10">
        <v>10</v>
      </c>
      <c r="F10">
        <v>499</v>
      </c>
      <c r="G10">
        <v>1</v>
      </c>
      <c r="H10">
        <v>5839</v>
      </c>
      <c r="I10">
        <v>11</v>
      </c>
    </row>
    <row r="11" spans="1:9" x14ac:dyDescent="0.3">
      <c r="A11" s="8">
        <v>6</v>
      </c>
      <c r="B11">
        <v>6637</v>
      </c>
      <c r="C11">
        <v>13</v>
      </c>
      <c r="D11">
        <v>799</v>
      </c>
      <c r="E11">
        <v>1</v>
      </c>
      <c r="H11">
        <v>7436</v>
      </c>
      <c r="I11">
        <v>14</v>
      </c>
    </row>
    <row r="12" spans="1:9" x14ac:dyDescent="0.3">
      <c r="A12" s="8">
        <v>7</v>
      </c>
      <c r="B12">
        <v>11638</v>
      </c>
      <c r="C12">
        <v>12</v>
      </c>
      <c r="D12">
        <v>1999</v>
      </c>
      <c r="E12">
        <v>1</v>
      </c>
      <c r="F12">
        <v>2297</v>
      </c>
      <c r="G12">
        <v>3</v>
      </c>
      <c r="H12">
        <v>15934</v>
      </c>
      <c r="I12">
        <v>16</v>
      </c>
    </row>
    <row r="13" spans="1:9" x14ac:dyDescent="0.3">
      <c r="A13" s="8">
        <v>8</v>
      </c>
      <c r="B13">
        <v>7086</v>
      </c>
      <c r="C13">
        <v>14</v>
      </c>
      <c r="D13">
        <v>49</v>
      </c>
      <c r="E13">
        <v>1</v>
      </c>
      <c r="F13">
        <v>299</v>
      </c>
      <c r="G13">
        <v>1</v>
      </c>
      <c r="H13">
        <v>7434</v>
      </c>
      <c r="I13">
        <v>16</v>
      </c>
    </row>
    <row r="14" spans="1:9" x14ac:dyDescent="0.3">
      <c r="A14" s="8">
        <v>9</v>
      </c>
      <c r="B14">
        <v>4485</v>
      </c>
      <c r="C14">
        <v>15</v>
      </c>
      <c r="F14">
        <v>497</v>
      </c>
      <c r="G14">
        <v>3</v>
      </c>
      <c r="H14">
        <v>4982</v>
      </c>
      <c r="I14">
        <v>18</v>
      </c>
    </row>
    <row r="15" spans="1:9" x14ac:dyDescent="0.3">
      <c r="A15" s="8">
        <v>10</v>
      </c>
      <c r="B15">
        <v>7639</v>
      </c>
      <c r="C15">
        <v>11</v>
      </c>
      <c r="D15">
        <v>5048</v>
      </c>
      <c r="E15">
        <v>2</v>
      </c>
      <c r="F15">
        <v>399</v>
      </c>
      <c r="G15">
        <v>1</v>
      </c>
      <c r="H15">
        <v>13086</v>
      </c>
      <c r="I15">
        <v>14</v>
      </c>
    </row>
    <row r="16" spans="1:9" x14ac:dyDescent="0.3">
      <c r="A16" s="8">
        <v>11</v>
      </c>
      <c r="B16">
        <v>9292</v>
      </c>
      <c r="C16">
        <v>8</v>
      </c>
      <c r="D16">
        <v>149</v>
      </c>
      <c r="E16">
        <v>1</v>
      </c>
      <c r="F16">
        <v>1499</v>
      </c>
      <c r="G16">
        <v>1</v>
      </c>
      <c r="H16">
        <v>10940</v>
      </c>
      <c r="I16">
        <v>10</v>
      </c>
    </row>
    <row r="17" spans="1:9" x14ac:dyDescent="0.3">
      <c r="A17" s="8">
        <v>12</v>
      </c>
      <c r="B17">
        <v>9389</v>
      </c>
      <c r="C17">
        <v>11</v>
      </c>
      <c r="F17">
        <v>998</v>
      </c>
      <c r="G17">
        <v>2</v>
      </c>
      <c r="H17">
        <v>10387</v>
      </c>
      <c r="I17">
        <v>13</v>
      </c>
    </row>
    <row r="18" spans="1:9" x14ac:dyDescent="0.3">
      <c r="A18" s="8">
        <v>13</v>
      </c>
      <c r="B18">
        <v>10390</v>
      </c>
      <c r="C18">
        <v>10</v>
      </c>
      <c r="D18">
        <v>4999</v>
      </c>
      <c r="E18">
        <v>1</v>
      </c>
      <c r="F18">
        <v>2999</v>
      </c>
      <c r="G18">
        <v>1</v>
      </c>
      <c r="H18">
        <v>18388</v>
      </c>
      <c r="I18">
        <v>12</v>
      </c>
    </row>
    <row r="19" spans="1:9" x14ac:dyDescent="0.3">
      <c r="A19" s="8">
        <v>14</v>
      </c>
      <c r="B19">
        <v>6189</v>
      </c>
      <c r="C19">
        <v>11</v>
      </c>
      <c r="F19">
        <v>299</v>
      </c>
      <c r="G19">
        <v>1</v>
      </c>
      <c r="H19">
        <v>6488</v>
      </c>
      <c r="I19">
        <v>12</v>
      </c>
    </row>
    <row r="20" spans="1:9" x14ac:dyDescent="0.3">
      <c r="A20" s="8">
        <v>15</v>
      </c>
      <c r="B20">
        <v>7439</v>
      </c>
      <c r="C20">
        <v>11</v>
      </c>
      <c r="F20">
        <v>399</v>
      </c>
      <c r="G20">
        <v>1</v>
      </c>
      <c r="H20">
        <v>7838</v>
      </c>
      <c r="I20">
        <v>12</v>
      </c>
    </row>
    <row r="21" spans="1:9" x14ac:dyDescent="0.3">
      <c r="A21" s="8">
        <v>16</v>
      </c>
      <c r="B21">
        <v>10183</v>
      </c>
      <c r="C21">
        <v>17</v>
      </c>
      <c r="F21">
        <v>947</v>
      </c>
      <c r="G21">
        <v>3</v>
      </c>
      <c r="H21">
        <v>11130</v>
      </c>
      <c r="I21">
        <v>20</v>
      </c>
    </row>
    <row r="22" spans="1:9" x14ac:dyDescent="0.3">
      <c r="A22" s="8">
        <v>17</v>
      </c>
      <c r="B22">
        <v>12738</v>
      </c>
      <c r="C22">
        <v>12</v>
      </c>
      <c r="F22">
        <v>299</v>
      </c>
      <c r="G22">
        <v>1</v>
      </c>
      <c r="H22">
        <v>13037</v>
      </c>
      <c r="I22">
        <v>13</v>
      </c>
    </row>
    <row r="23" spans="1:9" x14ac:dyDescent="0.3">
      <c r="A23" s="8">
        <v>18</v>
      </c>
      <c r="B23">
        <v>7089</v>
      </c>
      <c r="C23">
        <v>11</v>
      </c>
      <c r="H23">
        <v>7089</v>
      </c>
      <c r="I23">
        <v>11</v>
      </c>
    </row>
    <row r="24" spans="1:9" x14ac:dyDescent="0.3">
      <c r="A24" s="8">
        <v>19</v>
      </c>
      <c r="B24">
        <v>7239</v>
      </c>
      <c r="C24">
        <v>11</v>
      </c>
      <c r="D24">
        <v>4999</v>
      </c>
      <c r="E24">
        <v>1</v>
      </c>
      <c r="F24">
        <v>598</v>
      </c>
      <c r="G24">
        <v>2</v>
      </c>
      <c r="H24">
        <v>12836</v>
      </c>
      <c r="I24">
        <v>14</v>
      </c>
    </row>
    <row r="25" spans="1:9" x14ac:dyDescent="0.3">
      <c r="A25" s="8">
        <v>20</v>
      </c>
      <c r="B25">
        <v>4192</v>
      </c>
      <c r="C25">
        <v>8</v>
      </c>
      <c r="F25">
        <v>49</v>
      </c>
      <c r="G25">
        <v>1</v>
      </c>
      <c r="H25">
        <v>4241</v>
      </c>
      <c r="I25">
        <v>9</v>
      </c>
    </row>
    <row r="26" spans="1:9" x14ac:dyDescent="0.3">
      <c r="A26" s="8">
        <v>21</v>
      </c>
      <c r="B26">
        <v>3887</v>
      </c>
      <c r="C26">
        <v>13</v>
      </c>
      <c r="F26">
        <v>4999</v>
      </c>
      <c r="G26">
        <v>1</v>
      </c>
      <c r="H26">
        <v>8886</v>
      </c>
      <c r="I26">
        <v>14</v>
      </c>
    </row>
    <row r="27" spans="1:9" x14ac:dyDescent="0.3">
      <c r="A27" s="8">
        <v>22</v>
      </c>
      <c r="B27">
        <v>11336</v>
      </c>
      <c r="C27">
        <v>14</v>
      </c>
      <c r="F27">
        <v>1198</v>
      </c>
      <c r="G27">
        <v>2</v>
      </c>
      <c r="H27">
        <v>12534</v>
      </c>
      <c r="I27">
        <v>16</v>
      </c>
    </row>
    <row r="28" spans="1:9" x14ac:dyDescent="0.3">
      <c r="A28" s="8">
        <v>23</v>
      </c>
      <c r="B28">
        <v>1041</v>
      </c>
      <c r="C28">
        <v>9</v>
      </c>
      <c r="D28">
        <v>1999</v>
      </c>
      <c r="E28">
        <v>1</v>
      </c>
      <c r="H28">
        <v>3040</v>
      </c>
      <c r="I28">
        <v>10</v>
      </c>
    </row>
    <row r="29" spans="1:9" x14ac:dyDescent="0.3">
      <c r="A29" s="8">
        <v>24</v>
      </c>
      <c r="B29">
        <v>3438</v>
      </c>
      <c r="C29">
        <v>12</v>
      </c>
      <c r="D29">
        <v>149</v>
      </c>
      <c r="E29">
        <v>1</v>
      </c>
      <c r="H29">
        <v>3587</v>
      </c>
      <c r="I29">
        <v>13</v>
      </c>
    </row>
    <row r="30" spans="1:9" x14ac:dyDescent="0.3">
      <c r="A30" s="8">
        <v>25</v>
      </c>
      <c r="B30">
        <v>12534</v>
      </c>
      <c r="C30">
        <v>16</v>
      </c>
      <c r="D30">
        <v>2999</v>
      </c>
      <c r="E30">
        <v>1</v>
      </c>
      <c r="H30">
        <v>15533</v>
      </c>
      <c r="I30">
        <v>17</v>
      </c>
    </row>
    <row r="31" spans="1:9" x14ac:dyDescent="0.3">
      <c r="A31" s="8">
        <v>26</v>
      </c>
      <c r="B31">
        <v>2991</v>
      </c>
      <c r="C31">
        <v>9</v>
      </c>
      <c r="F31">
        <v>2197</v>
      </c>
      <c r="G31">
        <v>3</v>
      </c>
      <c r="H31">
        <v>5188</v>
      </c>
      <c r="I31">
        <v>12</v>
      </c>
    </row>
    <row r="32" spans="1:9" x14ac:dyDescent="0.3">
      <c r="A32" s="8">
        <v>27</v>
      </c>
      <c r="B32">
        <v>8038</v>
      </c>
      <c r="C32">
        <v>12</v>
      </c>
      <c r="D32">
        <v>4047</v>
      </c>
      <c r="E32">
        <v>3</v>
      </c>
      <c r="F32">
        <v>1499</v>
      </c>
      <c r="G32">
        <v>1</v>
      </c>
      <c r="H32">
        <v>13584</v>
      </c>
      <c r="I32">
        <v>16</v>
      </c>
    </row>
    <row r="33" spans="1:9" x14ac:dyDescent="0.3">
      <c r="A33" s="8">
        <v>28</v>
      </c>
      <c r="B33">
        <v>4493</v>
      </c>
      <c r="C33">
        <v>7</v>
      </c>
      <c r="D33">
        <v>1999</v>
      </c>
      <c r="E33">
        <v>1</v>
      </c>
      <c r="F33">
        <v>3048</v>
      </c>
      <c r="G33">
        <v>2</v>
      </c>
      <c r="H33">
        <v>9540</v>
      </c>
      <c r="I33">
        <v>10</v>
      </c>
    </row>
    <row r="34" spans="1:9" x14ac:dyDescent="0.3">
      <c r="A34" s="8">
        <v>29</v>
      </c>
      <c r="B34">
        <v>5686</v>
      </c>
      <c r="C34">
        <v>14</v>
      </c>
      <c r="D34">
        <v>3897</v>
      </c>
      <c r="E34">
        <v>3</v>
      </c>
      <c r="F34">
        <v>3498</v>
      </c>
      <c r="G34">
        <v>2</v>
      </c>
      <c r="H34">
        <v>13081</v>
      </c>
      <c r="I34">
        <v>19</v>
      </c>
    </row>
    <row r="35" spans="1:9" x14ac:dyDescent="0.3">
      <c r="A35" s="8">
        <v>30</v>
      </c>
      <c r="B35">
        <v>7384</v>
      </c>
      <c r="C35">
        <v>16</v>
      </c>
      <c r="F35">
        <v>499</v>
      </c>
      <c r="G35">
        <v>1</v>
      </c>
      <c r="H35">
        <v>7883</v>
      </c>
      <c r="I35">
        <v>17</v>
      </c>
    </row>
    <row r="36" spans="1:9" x14ac:dyDescent="0.3">
      <c r="A36" s="8">
        <v>31</v>
      </c>
      <c r="B36">
        <v>2640</v>
      </c>
      <c r="C36">
        <v>10</v>
      </c>
      <c r="D36">
        <v>49</v>
      </c>
      <c r="E36">
        <v>1</v>
      </c>
      <c r="F36">
        <v>2146</v>
      </c>
      <c r="G36">
        <v>4</v>
      </c>
      <c r="H36">
        <v>4835</v>
      </c>
      <c r="I36">
        <v>15</v>
      </c>
    </row>
    <row r="37" spans="1:9" x14ac:dyDescent="0.3">
      <c r="A37" s="8">
        <v>32</v>
      </c>
      <c r="B37">
        <v>2589</v>
      </c>
      <c r="C37">
        <v>11</v>
      </c>
      <c r="D37">
        <v>1999</v>
      </c>
      <c r="E37">
        <v>1</v>
      </c>
      <c r="F37">
        <v>3498</v>
      </c>
      <c r="G37">
        <v>2</v>
      </c>
      <c r="H37">
        <v>8086</v>
      </c>
      <c r="I37">
        <v>14</v>
      </c>
    </row>
    <row r="38" spans="1:9" x14ac:dyDescent="0.3">
      <c r="A38" s="8">
        <v>33</v>
      </c>
      <c r="B38">
        <v>10190</v>
      </c>
      <c r="C38">
        <v>10</v>
      </c>
      <c r="F38">
        <v>149</v>
      </c>
      <c r="G38">
        <v>1</v>
      </c>
      <c r="H38">
        <v>10339</v>
      </c>
      <c r="I38">
        <v>11</v>
      </c>
    </row>
    <row r="39" spans="1:9" x14ac:dyDescent="0.3">
      <c r="A39" s="8">
        <v>34</v>
      </c>
      <c r="B39">
        <v>9635</v>
      </c>
      <c r="C39">
        <v>15</v>
      </c>
      <c r="F39">
        <v>399</v>
      </c>
      <c r="G39">
        <v>1</v>
      </c>
      <c r="H39">
        <v>10034</v>
      </c>
      <c r="I39">
        <v>16</v>
      </c>
    </row>
    <row r="40" spans="1:9" x14ac:dyDescent="0.3">
      <c r="A40" s="8">
        <v>35</v>
      </c>
      <c r="B40">
        <v>8688</v>
      </c>
      <c r="C40">
        <v>12</v>
      </c>
      <c r="F40">
        <v>598</v>
      </c>
      <c r="G40">
        <v>2</v>
      </c>
      <c r="H40">
        <v>9286</v>
      </c>
      <c r="I40">
        <v>14</v>
      </c>
    </row>
    <row r="41" spans="1:9" x14ac:dyDescent="0.3">
      <c r="A41" s="8">
        <v>36</v>
      </c>
      <c r="B41">
        <v>11535</v>
      </c>
      <c r="C41">
        <v>15</v>
      </c>
      <c r="D41">
        <v>999</v>
      </c>
      <c r="E41">
        <v>1</v>
      </c>
      <c r="H41">
        <v>12534</v>
      </c>
      <c r="I41">
        <v>16</v>
      </c>
    </row>
    <row r="42" spans="1:9" x14ac:dyDescent="0.3">
      <c r="A42" s="8">
        <v>37</v>
      </c>
      <c r="B42">
        <v>10833</v>
      </c>
      <c r="C42">
        <v>17</v>
      </c>
      <c r="D42">
        <v>1999</v>
      </c>
      <c r="E42">
        <v>1</v>
      </c>
      <c r="F42">
        <v>99</v>
      </c>
      <c r="G42">
        <v>1</v>
      </c>
      <c r="H42">
        <v>12931</v>
      </c>
      <c r="I42">
        <v>19</v>
      </c>
    </row>
    <row r="43" spans="1:9" x14ac:dyDescent="0.3">
      <c r="A43" s="8">
        <v>38</v>
      </c>
      <c r="B43">
        <v>3342</v>
      </c>
      <c r="C43">
        <v>8</v>
      </c>
      <c r="F43">
        <v>598</v>
      </c>
      <c r="G43">
        <v>2</v>
      </c>
      <c r="H43">
        <v>3940</v>
      </c>
      <c r="I43">
        <v>10</v>
      </c>
    </row>
    <row r="44" spans="1:9" x14ac:dyDescent="0.3">
      <c r="A44" s="8">
        <v>39</v>
      </c>
      <c r="B44">
        <v>11291</v>
      </c>
      <c r="C44">
        <v>9</v>
      </c>
      <c r="D44">
        <v>10997</v>
      </c>
      <c r="E44">
        <v>3</v>
      </c>
      <c r="F44">
        <v>399</v>
      </c>
      <c r="G44">
        <v>1</v>
      </c>
      <c r="H44">
        <v>22687</v>
      </c>
      <c r="I44">
        <v>13</v>
      </c>
    </row>
    <row r="45" spans="1:9" x14ac:dyDescent="0.3">
      <c r="A45" s="8">
        <v>40</v>
      </c>
      <c r="B45">
        <v>3039</v>
      </c>
      <c r="C45">
        <v>11</v>
      </c>
      <c r="D45">
        <v>5148</v>
      </c>
      <c r="E45">
        <v>2</v>
      </c>
      <c r="F45">
        <v>548</v>
      </c>
      <c r="G45">
        <v>2</v>
      </c>
      <c r="H45">
        <v>8735</v>
      </c>
      <c r="I45">
        <v>15</v>
      </c>
    </row>
    <row r="46" spans="1:9" x14ac:dyDescent="0.3">
      <c r="A46" s="8" t="s">
        <v>625</v>
      </c>
      <c r="B46">
        <v>290382</v>
      </c>
      <c r="C46">
        <v>468</v>
      </c>
      <c r="D46">
        <v>54472</v>
      </c>
      <c r="E46">
        <v>28</v>
      </c>
      <c r="F46">
        <v>37749</v>
      </c>
      <c r="G46">
        <v>51</v>
      </c>
      <c r="H46">
        <v>382603</v>
      </c>
      <c r="I46">
        <v>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028E-4D2D-4378-96F5-63F0201F03DC}">
  <dimension ref="A1:C6"/>
  <sheetViews>
    <sheetView workbookViewId="0">
      <selection activeCell="C16" sqref="C16"/>
    </sheetView>
  </sheetViews>
  <sheetFormatPr defaultRowHeight="14.4" x14ac:dyDescent="0.3"/>
  <cols>
    <col min="1" max="1" width="10.6640625" bestFit="1" customWidth="1"/>
    <col min="2" max="2" width="15.6640625" bestFit="1" customWidth="1"/>
    <col min="3" max="3" width="10.88671875" bestFit="1" customWidth="1"/>
  </cols>
  <sheetData>
    <row r="1" spans="1:3" x14ac:dyDescent="0.3">
      <c r="A1" s="5" t="s">
        <v>633</v>
      </c>
      <c r="B1" s="10" t="s">
        <v>634</v>
      </c>
      <c r="C1" s="10" t="s">
        <v>635</v>
      </c>
    </row>
    <row r="2" spans="1:3" x14ac:dyDescent="0.3">
      <c r="A2" s="3">
        <v>1</v>
      </c>
      <c r="B2" s="10">
        <f>COUNTIF(Transactions!$C:$C,A2)</f>
        <v>9</v>
      </c>
      <c r="C2" s="10" cm="1">
        <f t="array" ref="C2">ROWS(_xlfn.UNIQUE(_xlfn._xlws.FILTER(Transactions!$M$2:$M$548,Transactions!$C$2:$C$548=A2)))</f>
        <v>7</v>
      </c>
    </row>
    <row r="3" spans="1:3" x14ac:dyDescent="0.3">
      <c r="A3" s="3">
        <v>2</v>
      </c>
      <c r="B3" s="10">
        <f>COUNTIF(Transactions!$C:$C,A3)</f>
        <v>10</v>
      </c>
      <c r="C3" s="10" cm="1">
        <f t="array" ref="C3">ROWS(_xlfn.UNIQUE(_xlfn._xlws.FILTER(Transactions!$M$2:$M$548,Transactions!$C$2:$C$548=A3)))</f>
        <v>9</v>
      </c>
    </row>
    <row r="4" spans="1:3" x14ac:dyDescent="0.3">
      <c r="A4" s="3">
        <v>3</v>
      </c>
      <c r="B4" s="10">
        <f>COUNTIF(Transactions!$C:$C,A4)</f>
        <v>17</v>
      </c>
      <c r="C4" s="10" cm="1">
        <f t="array" ref="C4">ROWS(_xlfn.UNIQUE(_xlfn._xlws.FILTER(Transactions!$M$2:$M$548,Transactions!$C$2:$C$548=A4)))</f>
        <v>13</v>
      </c>
    </row>
    <row r="5" spans="1:3" x14ac:dyDescent="0.3">
      <c r="A5" s="3">
        <v>4</v>
      </c>
      <c r="B5" s="10">
        <f>COUNTIF(Transactions!$C:$C,A5)</f>
        <v>9</v>
      </c>
      <c r="C5" s="10" cm="1">
        <f t="array" ref="C5">ROWS(_xlfn.UNIQUE(_xlfn._xlws.FILTER(Transactions!$M$2:$M$548,Transactions!$C$2:$C$548=A5)))</f>
        <v>7</v>
      </c>
    </row>
    <row r="6" spans="1:3" x14ac:dyDescent="0.3">
      <c r="A6" s="3">
        <v>5</v>
      </c>
      <c r="B6" s="10">
        <f>COUNTIF(Transactions!$C:$C,A6)</f>
        <v>11</v>
      </c>
      <c r="C6" s="10" cm="1">
        <f t="array" ref="C6">ROWS(_xlfn.UNIQUE(_xlfn._xlws.FILTER(Transactions!$M$2:$M$548,Transactions!$C$2:$C$548=A6)))</f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144A-30D0-40FA-9B74-DCC67D6A31A2}">
  <dimension ref="A1:C7"/>
  <sheetViews>
    <sheetView tabSelected="1" workbookViewId="0">
      <selection activeCell="A2" sqref="A2"/>
    </sheetView>
  </sheetViews>
  <sheetFormatPr defaultRowHeight="14.4" x14ac:dyDescent="0.3"/>
  <cols>
    <col min="1" max="1" width="58.5546875" bestFit="1" customWidth="1"/>
    <col min="3" max="3" width="61" bestFit="1" customWidth="1"/>
  </cols>
  <sheetData>
    <row r="1" spans="1:3" x14ac:dyDescent="0.3">
      <c r="A1" s="11" t="s">
        <v>648</v>
      </c>
      <c r="C1" s="11" t="s">
        <v>642</v>
      </c>
    </row>
    <row r="2" spans="1:3" x14ac:dyDescent="0.3">
      <c r="A2" s="12" t="s">
        <v>636</v>
      </c>
      <c r="C2" s="12" t="s">
        <v>643</v>
      </c>
    </row>
    <row r="3" spans="1:3" x14ac:dyDescent="0.3">
      <c r="A3" s="12" t="s">
        <v>637</v>
      </c>
      <c r="C3" s="12" t="s">
        <v>644</v>
      </c>
    </row>
    <row r="4" spans="1:3" x14ac:dyDescent="0.3">
      <c r="A4" s="12" t="s">
        <v>638</v>
      </c>
      <c r="C4" s="12" t="s">
        <v>645</v>
      </c>
    </row>
    <row r="5" spans="1:3" x14ac:dyDescent="0.3">
      <c r="A5" s="12" t="s">
        <v>639</v>
      </c>
      <c r="C5" s="12" t="s">
        <v>646</v>
      </c>
    </row>
    <row r="6" spans="1:3" x14ac:dyDescent="0.3">
      <c r="A6" s="12" t="s">
        <v>640</v>
      </c>
      <c r="C6" s="12" t="s">
        <v>647</v>
      </c>
    </row>
    <row r="7" spans="1:3" x14ac:dyDescent="0.3">
      <c r="A7" s="12" t="s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Merchants</vt:lpstr>
      <vt:lpstr>Transactions</vt:lpstr>
      <vt:lpstr>Fee_lookup</vt:lpstr>
      <vt:lpstr>Daily_Merchan_Pivot</vt:lpstr>
      <vt:lpstr>Merchant_Status_Summary</vt:lpstr>
      <vt:lpstr>Merchant_Day_Comparison</vt:lpstr>
      <vt:lpstr>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Khandelwal</dc:creator>
  <cp:lastModifiedBy>Ananya Khandelwal</cp:lastModifiedBy>
  <dcterms:created xsi:type="dcterms:W3CDTF">2026-08-11T10:26:42Z</dcterms:created>
  <dcterms:modified xsi:type="dcterms:W3CDTF">2026-08-31T13:06:18Z</dcterms:modified>
</cp:coreProperties>
</file>